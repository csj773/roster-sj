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lt_log" sheetId="1" r:id="rId1"/>
  </sheets>
  <calcPr calcId="124519" fullCalcOnLoad="1"/>
</workbook>
</file>

<file path=xl/sharedStrings.xml><?xml version="1.0" encoding="utf-8"?>
<sst xmlns="http://schemas.openxmlformats.org/spreadsheetml/2006/main" count="2947" uniqueCount="253">
  <si>
    <t>DATE</t>
  </si>
  <si>
    <t>FLT</t>
  </si>
  <si>
    <t>FROM</t>
  </si>
  <si>
    <t>TO</t>
  </si>
  <si>
    <t>REG</t>
  </si>
  <si>
    <t>DC</t>
  </si>
  <si>
    <t>RO</t>
  </si>
  <si>
    <t>RI</t>
  </si>
  <si>
    <t>BLK</t>
  </si>
  <si>
    <t>LD</t>
  </si>
  <si>
    <t>ACT</t>
  </si>
  <si>
    <t>NGT</t>
  </si>
  <si>
    <t>INS</t>
  </si>
  <si>
    <t>이륙</t>
  </si>
  <si>
    <t>착륙</t>
  </si>
  <si>
    <t>자동착륙</t>
  </si>
  <si>
    <t>TOGA</t>
  </si>
  <si>
    <t>787 PIC</t>
  </si>
  <si>
    <t>Remarks</t>
  </si>
  <si>
    <t>731</t>
  </si>
  <si>
    <t>ICN</t>
  </si>
  <si>
    <t>NRT</t>
  </si>
  <si>
    <t>8516</t>
  </si>
  <si>
    <t>2CO</t>
  </si>
  <si>
    <t>N</t>
  </si>
  <si>
    <t>조성식,김영준</t>
  </si>
  <si>
    <t>732</t>
  </si>
  <si>
    <t>S</t>
  </si>
  <si>
    <t>8517</t>
  </si>
  <si>
    <t>2CR</t>
  </si>
  <si>
    <t>651</t>
  </si>
  <si>
    <t>SGN</t>
  </si>
  <si>
    <t>8388</t>
  </si>
  <si>
    <t>652</t>
  </si>
  <si>
    <t>김훈</t>
  </si>
  <si>
    <t>김영필</t>
  </si>
  <si>
    <t>PAGE TOTAL</t>
  </si>
  <si>
    <t>PREVIOUS TOTAL</t>
  </si>
  <si>
    <t>CUMULATIVE TOTAL (CHOI SANG JOON)</t>
  </si>
  <si>
    <t>131</t>
  </si>
  <si>
    <t>EWR</t>
  </si>
  <si>
    <t>4CR</t>
  </si>
  <si>
    <t>이동수,김동욱</t>
  </si>
  <si>
    <t>132</t>
  </si>
  <si>
    <t>8389</t>
  </si>
  <si>
    <t>Y</t>
  </si>
  <si>
    <t>2C1</t>
  </si>
  <si>
    <t>MOLIT이용환,한정권</t>
  </si>
  <si>
    <t>4C2</t>
  </si>
  <si>
    <t>김영준,홍진영,서호균</t>
  </si>
  <si>
    <t>8387</t>
  </si>
  <si>
    <t>4C1</t>
  </si>
  <si>
    <t>231</t>
  </si>
  <si>
    <t>FRA</t>
  </si>
  <si>
    <t>김영준,서호균,홍진영</t>
  </si>
  <si>
    <t>232</t>
  </si>
  <si>
    <t>101</t>
  </si>
  <si>
    <t>LAX</t>
  </si>
  <si>
    <t>3C2</t>
  </si>
  <si>
    <t>신지수,홍진영,서호균</t>
  </si>
  <si>
    <t>102</t>
  </si>
  <si>
    <t>3CX</t>
  </si>
  <si>
    <t>이은상,유민상,강달용</t>
  </si>
  <si>
    <t>4C3</t>
  </si>
  <si>
    <t>노영래,윤태선,정상균</t>
  </si>
  <si>
    <t>유우룡,윤태선,정상균</t>
  </si>
  <si>
    <t>조성식,남궁명,김은수</t>
  </si>
  <si>
    <t>박규태,박일호,임원길</t>
  </si>
  <si>
    <t>유우룡,정상균,강흥건</t>
  </si>
  <si>
    <t>유우룡,이석원,김은수</t>
  </si>
  <si>
    <t>정재훈,이정훈,최우석</t>
  </si>
  <si>
    <t>3C1</t>
  </si>
  <si>
    <t>박준성,김지호,신지수</t>
  </si>
  <si>
    <t>이장헌,김효승,홍진영</t>
  </si>
  <si>
    <t>김영준,김효승,김선용</t>
  </si>
  <si>
    <t>이은상,김선용,김효승</t>
  </si>
  <si>
    <t>정재훈,김동섭,이병욱</t>
  </si>
  <si>
    <t>김선용,임준호,최재원</t>
  </si>
  <si>
    <t>5245</t>
  </si>
  <si>
    <t>BCN</t>
  </si>
  <si>
    <t>노영래,서정원,홍진영</t>
  </si>
  <si>
    <t>5246</t>
  </si>
  <si>
    <t>신동훈,최재원,이은상</t>
  </si>
  <si>
    <t>김영준,임준호,정상균</t>
  </si>
  <si>
    <t>노영래,임원길,홍진영</t>
  </si>
  <si>
    <t>5671</t>
  </si>
  <si>
    <t>DAC</t>
  </si>
  <si>
    <t>노영래,최우석,김동욱</t>
  </si>
  <si>
    <t>5672</t>
  </si>
  <si>
    <t>유민상,김동욱,서정원</t>
  </si>
  <si>
    <t>601</t>
  </si>
  <si>
    <t>BKK</t>
  </si>
  <si>
    <t>이호석</t>
  </si>
  <si>
    <t>602</t>
  </si>
  <si>
    <t>김영준,이준오,홍진영</t>
  </si>
  <si>
    <t>박태을</t>
  </si>
  <si>
    <t>김경석,배기현,이태호,김지웅</t>
  </si>
  <si>
    <t>4CX</t>
  </si>
  <si>
    <t>정진수,이태호,이호석,이은상</t>
  </si>
  <si>
    <t>김선용,김동섭,이준오</t>
  </si>
  <si>
    <t>박준성,이승민,강달용</t>
  </si>
  <si>
    <t>김용식,김은수,이상호 GA</t>
  </si>
  <si>
    <t>서호균,김나성,이관호</t>
  </si>
  <si>
    <t>5151</t>
  </si>
  <si>
    <t>HNL</t>
  </si>
  <si>
    <t>김동환,이은철</t>
  </si>
  <si>
    <t>5152</t>
  </si>
  <si>
    <t>정호영,이재현,박태을,이준오</t>
  </si>
  <si>
    <t>조성식,이하정,김민재</t>
  </si>
  <si>
    <t>이재현,김효승</t>
  </si>
  <si>
    <t>이승현,김효승,배기현</t>
  </si>
  <si>
    <t>박규태,구상회,이은철</t>
  </si>
  <si>
    <t>임준호,이태호</t>
  </si>
  <si>
    <t>전지혁,이준오,이호석</t>
  </si>
  <si>
    <t>정희중,이은철,박일호,한정권</t>
  </si>
  <si>
    <t>박병열,김은수,김영석</t>
  </si>
  <si>
    <t>김지웅,서호균,이태호</t>
  </si>
  <si>
    <t>홍진영</t>
  </si>
  <si>
    <t>정호영,김효승,김진환</t>
  </si>
  <si>
    <t>박규태,정진규,김은수</t>
  </si>
  <si>
    <t>박형근,윤정훈,장명근</t>
  </si>
  <si>
    <t>111</t>
  </si>
  <si>
    <t>SFO</t>
  </si>
  <si>
    <t>김홍진,김영석,구상회</t>
  </si>
  <si>
    <t>112</t>
  </si>
  <si>
    <t>김경석,구상회,이태호</t>
  </si>
  <si>
    <t>김영필,김효승,이호석</t>
  </si>
  <si>
    <t>이상호,김영길,박영욱</t>
  </si>
  <si>
    <t>이석원,박준회,김훈B</t>
  </si>
  <si>
    <t>정한솔,김훈MOT</t>
  </si>
  <si>
    <t>조성식,서호균,김병욱</t>
  </si>
  <si>
    <t>1311</t>
  </si>
  <si>
    <t>임원길,윤정훈,서호균</t>
  </si>
  <si>
    <t>김선용,임석우,홍진영</t>
  </si>
  <si>
    <t>전지혁,강달용,정인보</t>
  </si>
  <si>
    <t>SSR</t>
  </si>
  <si>
    <t>김경석,김동욱,이장영</t>
  </si>
  <si>
    <t>고희덕,나종찬,이은철</t>
  </si>
  <si>
    <t>배총태,이은철,나종찬</t>
  </si>
  <si>
    <t>김동욱</t>
  </si>
  <si>
    <t>김경수,최우진,최우석</t>
  </si>
  <si>
    <t>유우룡,이관호,김승재</t>
  </si>
  <si>
    <t>박병열,이승민,서효균</t>
  </si>
  <si>
    <t>윤완석,김병욱,김동욱</t>
  </si>
  <si>
    <t>FOR</t>
  </si>
  <si>
    <t>배총태,정진규,서호균</t>
  </si>
  <si>
    <t>전지혁,장명근,홍인식</t>
  </si>
  <si>
    <t>김용식,정진규,김현수</t>
  </si>
  <si>
    <t>김민재</t>
  </si>
  <si>
    <t>김세훈,이은철,허완</t>
  </si>
  <si>
    <t>윤완석,정재훈,김효승,김용위</t>
  </si>
  <si>
    <t>경진수,김성훈B,홍인식</t>
  </si>
  <si>
    <t>전지혁,이정훈,임석우</t>
  </si>
  <si>
    <t>김세훈,나종찬,김상연</t>
  </si>
  <si>
    <t>8701</t>
  </si>
  <si>
    <t>이재형,배기현,김병욱</t>
  </si>
  <si>
    <t>이재형최상준배기현김병욱김남은이채윤임주빈채보선김가영김하연안은지안주현황정현노정은</t>
  </si>
  <si>
    <t>신민철,이준오,이상규</t>
  </si>
  <si>
    <t>박준성,김용위,이관호</t>
  </si>
  <si>
    <t>801</t>
  </si>
  <si>
    <t>HKG</t>
  </si>
  <si>
    <t>서동철,허완</t>
  </si>
  <si>
    <t>802</t>
  </si>
  <si>
    <t>김일관,박영욱,김현수</t>
  </si>
  <si>
    <t>621</t>
  </si>
  <si>
    <t>DAD</t>
  </si>
  <si>
    <t>전준구</t>
  </si>
  <si>
    <t>622</t>
  </si>
  <si>
    <t>이상규</t>
  </si>
  <si>
    <t>한정권,정진규,정범수</t>
  </si>
  <si>
    <t>전지혁,이상호,황성민</t>
  </si>
  <si>
    <t>강성준,김승재,윤정훈</t>
  </si>
  <si>
    <t>8702</t>
  </si>
  <si>
    <t>박준성,연정호,박재정</t>
  </si>
  <si>
    <t>이병문,박재정,임석우</t>
  </si>
  <si>
    <t>배기현</t>
  </si>
  <si>
    <t>김길주,배기현,전준구</t>
  </si>
  <si>
    <t>윤세기,박영욱,김동욱</t>
  </si>
  <si>
    <t>나종석,장명근,박성진</t>
  </si>
  <si>
    <t>소병규서세규조성식</t>
  </si>
  <si>
    <t>문종태</t>
  </si>
  <si>
    <t>이병문,최우석,이태호B</t>
  </si>
  <si>
    <t>이관호</t>
  </si>
  <si>
    <t>박양주,김윤현,소병규</t>
  </si>
  <si>
    <t>이철홍</t>
  </si>
  <si>
    <t>임승곤,김두효,박준회</t>
  </si>
  <si>
    <t>103</t>
  </si>
  <si>
    <t>김홍진,김윤현,김승재</t>
  </si>
  <si>
    <t>104</t>
  </si>
  <si>
    <t>8703</t>
  </si>
  <si>
    <t>신민철,박성진,이학현</t>
  </si>
  <si>
    <t>강상진최상준이재일이정곤이태경박현아송도희김예원문지오윤소희장우정전지혜이상현</t>
  </si>
  <si>
    <t>강상진최상준이재일이정곤박수진안혜린안혜빈이문희이승민김예지B김지아서지민유아영</t>
  </si>
  <si>
    <t>151</t>
  </si>
  <si>
    <t>김길주최상준배기현김소영범소빈유영국김남령김보경김지윤조현진황유수신명규</t>
  </si>
  <si>
    <t>152</t>
  </si>
  <si>
    <t>김경수최상준정진규이은철유도경노지희정하은조민국문유경박근아박민선박선영박혜린</t>
  </si>
  <si>
    <t>이중엽최상준한재훈김지호김현승권유리김은서박주현김민정B박경빈이진이채원박정우</t>
  </si>
  <si>
    <t>이중엽최상준한재훈김지호유도경윤혜린전나영허차영안은결오하은전정윤최다혜이상현</t>
  </si>
  <si>
    <t>신지수최상준고희덕이상호김효승강진선배가원백은채신명규김민정B김지예전정윤한소영김다솜</t>
  </si>
  <si>
    <t>신지수최상준고희덕이상호김효승김남은박시우백수빈신기주김보경김예지B이혜선정혜빈권소희</t>
  </si>
  <si>
    <t>김선용최상준최재원임창훈김은솔송영서이현주임민우김예지C우성하윤소희이원희이지수</t>
  </si>
  <si>
    <t>정남석최상준이학현정진규장효은배가원조민국홍미소김수경B박현주정지연최준원김지원</t>
  </si>
  <si>
    <t>최상준이호석장서연최연수박현아손지하주은숙최지원김하연하지민김윤숙서제영</t>
  </si>
  <si>
    <t>김영길최상준이재일김효승최보라김성호최혜지허주영반서연배한결윤소희윤초열이민경</t>
  </si>
  <si>
    <t>최상준남궁명김효승한현재조준상박은지박혜린배가원정민지조은빈손예나이선혜이아현이효은이미지</t>
  </si>
  <si>
    <t>최상준조석현이미지배가원봉수지이준희권세은박효민윤초열이현영권유리</t>
  </si>
  <si>
    <t>이창훈최상준이승민B김민재유도경김제성서은지허수진박서빈선가은양수빈이왕수이준기</t>
  </si>
  <si>
    <t>이창훈최상준이승민B구상회유도경김제성서은지허수진박서빈선가은양수빈이왕수이준기</t>
  </si>
  <si>
    <t>배총태최상준김영석이상규박소영김소희B김수현유리허정환김기연김나영김명진박소현박혜린</t>
  </si>
  <si>
    <t>김동환최상준김영욱최정웅김유신김이서안은지전나영조준제권유정박세연B박소희윤초열김명호</t>
  </si>
  <si>
    <t>김지웅최상준조성진손창우김서연배우란송영서최지원권세은박지수이유빈최다인문준영</t>
  </si>
  <si>
    <t>김지웅최상준조성진손창우장혜지김명호김민상배주희안은지박세연B서지민장소정B임주빈</t>
  </si>
  <si>
    <t>유우룡최상준김상연이태호정경화박현아정하은정혜빈김남령김민혁이상범최다혜최연수</t>
  </si>
  <si>
    <t>유우룡최상준김상연이태호최신효봉수지조은정최지선권도현김혜민B윤현지조용성이여름</t>
  </si>
  <si>
    <t>서호균최상준최윤준이승민B김윤아김민우조준제현정강지수고민지김민주박소현서은지B양정모</t>
  </si>
  <si>
    <t>정희중최상준최윤준이승민B김윤아김민우조준제현정강지수고민지김민주박소현서은지B양정모</t>
  </si>
  <si>
    <t>최상준정성원김윤아정승경하수민김남령김희원신효빈이원희조영수이채윤</t>
  </si>
  <si>
    <t>강호준최상준윤지열김효승봉소정김성호손지하조은정김승연박경빈신효빈정수인유성아</t>
  </si>
  <si>
    <t>8704</t>
  </si>
  <si>
    <t>강호준최상준윤지열김효승임주빈김지은안주현황효은김지원D이서연이원희이화인김지원</t>
  </si>
  <si>
    <t>최상준김지호김유진김범수배우란장소정구의정김민혁문유경손민희</t>
  </si>
  <si>
    <t>이태권최상준박성진정범수최보라손지원안은지정호종강예령강주호김은서C박근아최다인임혜진</t>
  </si>
  <si>
    <t>배총태최상준최정웅조병준박은지김하연이은혜채보선강영서윤초열이지원이채진전세린이승민</t>
  </si>
  <si>
    <t>803</t>
  </si>
  <si>
    <t>804</t>
  </si>
  <si>
    <t>경진수최상준문종태곽나윤김예지백은채손원우권도현김혜민B이서연이혜선조현선</t>
  </si>
  <si>
    <t>김남호최상준최윤준김영욱류서영김예지김채현이태림황인영강주호박소언B서예은서다히</t>
  </si>
  <si>
    <t>김세훈최상준김정환김병욱이미지김하연안혜빈조경필한희지곽서영이혜선장소정B조은선양정모</t>
  </si>
  <si>
    <t>이재현최상준이보행권기태김현진안주현이민경이태림강영서김민서C김지아박하영이유민황인영</t>
  </si>
  <si>
    <t>최상준이정훈김예은B마진아안은지이희준민찬미이서연이채원조영수권유리</t>
  </si>
  <si>
    <t>이재형최상준박의충김정환김유미김수현B김유경배가원김기연박하영임채은장소정B권계향</t>
  </si>
  <si>
    <t>서호균최상준최우석장서연강진선김소희B김수현신명규임혜진이상규B이유빈한승아권소희</t>
  </si>
  <si>
    <t>서호균최상준최우석장서연성고은봉수지안혜빈정하은최은비권도현신효빈이다겸김지연</t>
  </si>
  <si>
    <t>최상준박태을정수미김하은정혜빈조은정김나영김진솔박석진홍지우임홍주</t>
  </si>
  <si>
    <t>윤완석최상준김태현C이상현김민지박소영B서소담박재은이서안임채은홍지우이민경</t>
  </si>
  <si>
    <t>송다비라최상준이동건허완장혜지김수현오하은이언주손예나이지원최다인최다혜윤혜진</t>
  </si>
  <si>
    <t>송다비라최상준이동건허완김유신연소민이성은최지원이예인이왕수장소정B조현진임주빈</t>
  </si>
  <si>
    <t>이재형최상준김정환김효승봉소정김하은송지윤장혜연강지수김명진이서안한승아허차영</t>
  </si>
  <si>
    <t>이재형최상준김정환김효승김유신박서령백은채조현선선가은엄보현이원희임규리박상엽</t>
  </si>
  <si>
    <t>박일호최상준이민재김성훈B김현진송영서홍수아황인영권도현김기연김혜민B손예나유성아</t>
  </si>
  <si>
    <t>정재훈최상준이장영최연수김성호김은서백수빈강영서박태희안은결임소민안홍주</t>
  </si>
  <si>
    <t>735</t>
  </si>
  <si>
    <t>최상준정성원박소영임민우전수현박경빈박재은이다겸임지현장소정</t>
  </si>
  <si>
    <t>736</t>
  </si>
  <si>
    <t>최상준윤지열허노준김슬기김혜진성예림이현주조혜령이주은정세희이채윤</t>
  </si>
  <si>
    <t>최상준김영석이미지이문희임홍주허수진염윤진이지원추예진이지윤</t>
  </si>
  <si>
    <t>김승재최상준이정곤한재훈최보라김민우김제성연소민장소정남현서박석진염윤진김이현</t>
  </si>
  <si>
    <t>최상준박영욱김지연장혜연주은숙김승연남현서박소정양수빈윤소희안홍주</t>
  </si>
  <si>
    <t>최상준박영욱박준영정혜빈홍미소박세연B이서안이하영장세인차혜나정호종</t>
  </si>
  <si>
    <t>최상준유민상이민재배재욱정인보김유신변혜원조혜령홍수아김예지C이채진임지현최예린이미지</t>
  </si>
  <si>
    <t>최상준유민상이민재배재욱정인보김남은김예지박정아이준희김명진박지수박현빈이상범채보선</t>
  </si>
  <si>
    <t>최상준남성식이승현강용학</t>
  </si>
</sst>
</file>

<file path=xl/styles.xml><?xml version="1.0" encoding="utf-8"?>
<styleSheet xmlns="http://schemas.openxmlformats.org/spreadsheetml/2006/main">
  <numFmts count="3">
    <numFmt numFmtId="164" formatCode="yyyy-mm-dd"/>
    <numFmt numFmtId="165" formatCode="hh:mm"/>
    <numFmt numFmtId="166" formatCode="[h]:mm"/>
  </numFmts>
  <fonts count="4">
    <font>
      <sz val="11"/>
      <color theme="1"/>
      <name val="Calibri"/>
      <family val="2"/>
      <scheme val="minor"/>
    </font>
    <font>
      <b/>
      <sz val="8"/>
      <color rgb="FFFFFFFF"/>
      <name val="Calibri"/>
      <family val="2"/>
      <scheme val="minor"/>
    </font>
    <font>
      <sz val="8"/>
      <color theme="1"/>
      <name val="Calibri"/>
      <family val="2"/>
      <scheme val="minor"/>
    </font>
    <font>
      <b/>
      <sz val="8"/>
      <color theme="1"/>
      <name val="Calibri"/>
      <family val="2"/>
      <scheme val="minor"/>
    </font>
  </fonts>
  <fills count="4">
    <fill>
      <patternFill patternType="none"/>
    </fill>
    <fill>
      <patternFill patternType="gray125"/>
    </fill>
    <fill>
      <patternFill patternType="solid">
        <fgColor rgb="FF1B3A6B"/>
        <bgColor indexed="64"/>
      </patternFill>
    </fill>
    <fill>
      <patternFill patternType="solid">
        <fgColor rgb="FFF4E8C4"/>
        <bgColor indexed="64"/>
      </patternFill>
    </fill>
  </fills>
  <borders count="3">
    <border>
      <left/>
      <right/>
      <top/>
      <bottom/>
      <diagonal/>
    </border>
    <border>
      <left style="thin">
        <color rgb="FFB8962E"/>
      </left>
      <right style="thin">
        <color rgb="FFB8962E"/>
      </right>
      <top style="thin">
        <color rgb="FFB8962E"/>
      </top>
      <bottom style="thin">
        <color rgb="FFB8962E"/>
      </bottom>
      <diagonal/>
    </border>
    <border>
      <left style="thin">
        <color rgb="FFBFC6D1"/>
      </left>
      <right style="thin">
        <color rgb="FFBFC6D1"/>
      </right>
      <top style="thin">
        <color rgb="FFBFC6D1"/>
      </top>
      <bottom style="thin">
        <color rgb="FFBFC6D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xf>
    <xf numFmtId="165"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 fillId="2" borderId="1" xfId="0" applyFont="1" applyFill="1" applyBorder="1" applyAlignment="1">
      <alignment horizontal="right" vertical="center"/>
    </xf>
    <xf numFmtId="166"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T652"/>
  <sheetViews>
    <sheetView tabSelected="1" workbookViewId="0"/>
  </sheetViews>
  <sheetFormatPr defaultRowHeight="15"/>
  <cols>
    <col min="1" max="1" width="11.7109375" customWidth="1"/>
    <col min="2" max="2" width="8.7109375" customWidth="1"/>
    <col min="3" max="6" width="7.7109375" customWidth="1"/>
    <col min="7" max="8" width="6.7109375" customWidth="1"/>
    <col min="9" max="9" width="7.7109375" customWidth="1"/>
    <col min="10" max="11" width="6.7109375" customWidth="1"/>
    <col min="12" max="14" width="7.7109375" customWidth="1"/>
    <col min="15" max="16" width="5.7109375" customWidth="1"/>
    <col min="17" max="17" width="8.7109375" customWidth="1"/>
    <col min="18" max="18" width="6.7109375" customWidth="1"/>
    <col min="19" max="19" width="8.7109375" customWidth="1"/>
    <col min="20" max="20" width="14.7109375" customWidth="1"/>
  </cols>
  <sheetData>
    <row r="1" spans="1:20">
      <c r="A1" s="1" t="s">
        <v>0</v>
      </c>
      <c r="B1" s="1" t="s">
        <v>1</v>
      </c>
      <c r="C1" s="1" t="s">
        <v>2</v>
      </c>
      <c r="D1" s="1" t="s">
        <v>3</v>
      </c>
      <c r="E1" s="1" t="s">
        <v>4</v>
      </c>
      <c r="F1" s="1" t="s">
        <v>5</v>
      </c>
      <c r="G1" s="1" t="s">
        <v>6</v>
      </c>
      <c r="H1" s="1" t="s">
        <v>7</v>
      </c>
      <c r="I1" s="1" t="s">
        <v>8</v>
      </c>
      <c r="J1" s="1" t="s">
        <v>3</v>
      </c>
      <c r="K1" s="1" t="s">
        <v>9</v>
      </c>
      <c r="L1" s="1" t="s">
        <v>10</v>
      </c>
      <c r="M1" s="1" t="s">
        <v>11</v>
      </c>
      <c r="N1" s="1" t="s">
        <v>12</v>
      </c>
      <c r="O1" s="1" t="s">
        <v>13</v>
      </c>
      <c r="P1" s="1" t="s">
        <v>14</v>
      </c>
      <c r="Q1" s="1" t="s">
        <v>15</v>
      </c>
      <c r="R1" s="1" t="s">
        <v>16</v>
      </c>
      <c r="S1" s="1" t="s">
        <v>17</v>
      </c>
      <c r="T1" s="1" t="s">
        <v>18</v>
      </c>
    </row>
    <row r="2" spans="1:20">
      <c r="A2" s="2">
        <v>45044</v>
      </c>
      <c r="B2" s="3" t="s">
        <v>19</v>
      </c>
      <c r="C2" s="3" t="s">
        <v>20</v>
      </c>
      <c r="D2" s="3" t="s">
        <v>21</v>
      </c>
      <c r="E2" s="3" t="s">
        <v>22</v>
      </c>
      <c r="F2" s="3" t="s">
        <v>23</v>
      </c>
      <c r="G2" s="4">
        <v>0.9423611111111111</v>
      </c>
      <c r="H2" s="4">
        <v>0.04166666666666666</v>
      </c>
      <c r="I2" s="5">
        <v>0.09930555555555555</v>
      </c>
      <c r="J2" s="4"/>
      <c r="K2" s="4"/>
      <c r="L2" s="5">
        <f>IF(J2&gt;0,MOD(K2-J2,1),"")</f>
        <v/>
      </c>
      <c r="M2" s="5">
        <v>0</v>
      </c>
      <c r="N2" s="5">
        <v>0</v>
      </c>
      <c r="O2" s="3">
        <v>0</v>
      </c>
      <c r="P2" s="3">
        <v>0</v>
      </c>
      <c r="Q2" s="3" t="s">
        <v>24</v>
      </c>
      <c r="R2" s="3" t="s">
        <v>24</v>
      </c>
      <c r="S2" s="5">
        <f>_xlfn.IFS(F2="2C1",I2,F2="3C1",I2*0.666666666667,F2="3C2",I2*0.333333333333,F2="3CX","",F2="4C1",I2*0.5,F2="4C2",I2*0.5,F2="4C3","",F2="4CR","",F2="2CR","",F2="2CO","",F2="4CX","",TRUE,"")</f>
        <v/>
      </c>
      <c r="T2" s="3" t="s">
        <v>25</v>
      </c>
    </row>
    <row r="3" spans="1:20">
      <c r="A3" s="2">
        <v>45045</v>
      </c>
      <c r="B3" s="3" t="s">
        <v>26</v>
      </c>
      <c r="C3" s="3" t="s">
        <v>21</v>
      </c>
      <c r="D3" s="3" t="s">
        <v>20</v>
      </c>
      <c r="E3" s="3" t="s">
        <v>22</v>
      </c>
      <c r="F3" s="3" t="s">
        <v>23</v>
      </c>
      <c r="G3" s="4">
        <v>0.1208333333333333</v>
      </c>
      <c r="H3" s="4">
        <v>0.2291666666666667</v>
      </c>
      <c r="I3" s="5">
        <v>0.1083333333333333</v>
      </c>
      <c r="J3" s="4"/>
      <c r="K3" s="4"/>
      <c r="L3" s="5">
        <f>IF(J3&gt;0,MOD(K3-J3,1),"")</f>
        <v/>
      </c>
      <c r="M3" s="5">
        <v>0</v>
      </c>
      <c r="N3" s="5">
        <v>0</v>
      </c>
      <c r="O3" s="3">
        <v>0</v>
      </c>
      <c r="P3" s="3">
        <v>0</v>
      </c>
      <c r="Q3" s="3" t="s">
        <v>27</v>
      </c>
      <c r="R3" s="3" t="s">
        <v>24</v>
      </c>
      <c r="S3" s="5">
        <f>_xlfn.IFS(F3="2C1",I3,F3="3C1",I3*0.666666666667,F3="3C2",I3*0.333333333333,F3="3CX","",F3="4C1",I3*0.5,F3="4C2",I3*0.5,F3="4C3","",F3="4CR","",F3="2CR","",F3="2CO","",F3="4CX","",TRUE,"")</f>
        <v/>
      </c>
      <c r="T3" s="3"/>
    </row>
    <row r="4" spans="1:20">
      <c r="A4" s="2">
        <v>45048</v>
      </c>
      <c r="B4" s="3" t="s">
        <v>19</v>
      </c>
      <c r="C4" s="3" t="s">
        <v>20</v>
      </c>
      <c r="D4" s="3" t="s">
        <v>21</v>
      </c>
      <c r="E4" s="3" t="s">
        <v>28</v>
      </c>
      <c r="F4" s="3" t="s">
        <v>29</v>
      </c>
      <c r="G4" s="4">
        <v>0.9930555555555556</v>
      </c>
      <c r="H4" s="4">
        <v>0.08680555555555555</v>
      </c>
      <c r="I4" s="5">
        <v>0.09375</v>
      </c>
      <c r="J4" s="4"/>
      <c r="K4" s="4">
        <v>0.0798611111111111</v>
      </c>
      <c r="L4" s="5">
        <f>IF(J4&gt;0,MOD(K4-J4,1),"")</f>
        <v>0.07291666666666667</v>
      </c>
      <c r="M4" s="5">
        <v>0</v>
      </c>
      <c r="N4" s="5">
        <v>0.07291666666666667</v>
      </c>
      <c r="O4" s="3">
        <v>1</v>
      </c>
      <c r="P4" s="3">
        <v>1</v>
      </c>
      <c r="Q4" s="3" t="s">
        <v>24</v>
      </c>
      <c r="R4" s="3" t="s">
        <v>24</v>
      </c>
      <c r="S4" s="5">
        <f>_xlfn.IFS(F4="2C1",I4,F4="3C1",I4*0.666666666667,F4="3C2",I4*0.333333333333,F4="3CX","",F4="4C1",I4*0.5,F4="4C2",I4*0.5,F4="4C3","",F4="4CR","",F4="2CR","",F4="2CO","",F4="4CX","",TRUE,"")</f>
        <v/>
      </c>
      <c r="T4" s="3"/>
    </row>
    <row r="5" spans="1:20">
      <c r="A5" s="2">
        <v>45049</v>
      </c>
      <c r="B5" s="3" t="s">
        <v>26</v>
      </c>
      <c r="C5" s="3" t="s">
        <v>21</v>
      </c>
      <c r="D5" s="3" t="s">
        <v>20</v>
      </c>
      <c r="E5" s="3" t="s">
        <v>28</v>
      </c>
      <c r="F5" s="3" t="s">
        <v>29</v>
      </c>
      <c r="G5" s="4">
        <v>0.1541666666666667</v>
      </c>
      <c r="H5" s="4">
        <v>0.2625</v>
      </c>
      <c r="I5" s="5">
        <v>0.1083333333333333</v>
      </c>
      <c r="J5" s="4"/>
      <c r="K5" s="4">
        <v>0.2569444444444444</v>
      </c>
      <c r="L5" s="5">
        <f>IF(J5&gt;0,MOD(K5-J5,1),"")</f>
        <v>0.08541666666666667</v>
      </c>
      <c r="M5" s="5">
        <v>0</v>
      </c>
      <c r="N5" s="5">
        <v>0.08541666666666667</v>
      </c>
      <c r="O5" s="3">
        <v>1</v>
      </c>
      <c r="P5" s="3">
        <v>1</v>
      </c>
      <c r="Q5" s="3" t="s">
        <v>24</v>
      </c>
      <c r="R5" s="3" t="s">
        <v>24</v>
      </c>
      <c r="S5" s="5">
        <f>_xlfn.IFS(F5="2C1",I5,F5="3C1",I5*0.666666666667,F5="3C2",I5*0.333333333333,F5="3CX","",F5="4C1",I5*0.5,F5="4C2",I5*0.5,F5="4C3","",F5="4CR","",F5="2CR","",F5="2CO","",F5="4CX","",TRUE,"")</f>
        <v/>
      </c>
      <c r="T5" s="3"/>
    </row>
    <row r="6" spans="1:20">
      <c r="A6" s="2">
        <v>45062</v>
      </c>
      <c r="B6" s="3" t="s">
        <v>30</v>
      </c>
      <c r="C6" s="3" t="s">
        <v>20</v>
      </c>
      <c r="D6" s="3" t="s">
        <v>31</v>
      </c>
      <c r="E6" s="3" t="s">
        <v>32</v>
      </c>
      <c r="F6" s="3" t="s">
        <v>29</v>
      </c>
      <c r="G6" s="4">
        <v>0.4159722222222222</v>
      </c>
      <c r="H6" s="4">
        <v>0.6375</v>
      </c>
      <c r="I6" s="5">
        <v>0.2215277777777778</v>
      </c>
      <c r="J6" s="4"/>
      <c r="K6" s="4">
        <v>0.6284722222222222</v>
      </c>
      <c r="L6" s="5">
        <f>IF(J6&gt;0,MOD(K6-J6,1),"")</f>
        <v>0.19791666666666666</v>
      </c>
      <c r="M6" s="5">
        <v>0.1166666666666667</v>
      </c>
      <c r="N6" s="5">
        <v>0.1979166666666667</v>
      </c>
      <c r="O6" s="3">
        <v>1</v>
      </c>
      <c r="P6" s="3">
        <v>1</v>
      </c>
      <c r="Q6" s="3" t="s">
        <v>24</v>
      </c>
      <c r="R6" s="3" t="s">
        <v>24</v>
      </c>
      <c r="S6" s="5">
        <f>_xlfn.IFS(F6="2C1",I6,F6="3C1",I6*0.666666666667,F6="3C2",I6*0.333333333333,F6="3CX","",F6="4C1",I6*0.5,F6="4C2",I6*0.5,F6="4C3","",F6="4CR","",F6="2CR","",F6="2CO","",F6="4CX","",TRUE,"")</f>
        <v/>
      </c>
      <c r="T6" s="3"/>
    </row>
    <row r="7" spans="1:20">
      <c r="A7" s="2">
        <v>45064</v>
      </c>
      <c r="B7" s="3" t="s">
        <v>33</v>
      </c>
      <c r="C7" s="3" t="s">
        <v>31</v>
      </c>
      <c r="D7" s="3" t="s">
        <v>20</v>
      </c>
      <c r="E7" s="3" t="s">
        <v>32</v>
      </c>
      <c r="F7" s="3" t="s">
        <v>29</v>
      </c>
      <c r="G7" s="4">
        <v>0.7076388888888889</v>
      </c>
      <c r="H7" s="4">
        <v>0.9083333333333333</v>
      </c>
      <c r="I7" s="5">
        <v>0.2006944444444445</v>
      </c>
      <c r="J7" s="4"/>
      <c r="K7" s="4">
        <v>0.9020833333333333</v>
      </c>
      <c r="L7" s="5">
        <f>IF(J7&gt;0,MOD(K7-J7,1),"")</f>
        <v>0.18611111111111112</v>
      </c>
      <c r="M7" s="5">
        <v>0.1881944444444444</v>
      </c>
      <c r="N7" s="5">
        <v>0.1861111111111111</v>
      </c>
      <c r="O7" s="3">
        <v>1</v>
      </c>
      <c r="P7" s="3">
        <v>1</v>
      </c>
      <c r="Q7" s="3" t="s">
        <v>24</v>
      </c>
      <c r="R7" s="3" t="s">
        <v>24</v>
      </c>
      <c r="S7" s="5">
        <f>_xlfn.IFS(F7="2C1",I7,F7="3C1",I7*0.666666666667,F7="3C2",I7*0.333333333333,F7="3CX","",F7="4C1",I7*0.5,F7="4C2",I7*0.5,F7="4C3","",F7="4CR","",F7="2CR","",F7="2CO","",F7="4CX","",TRUE,"")</f>
        <v/>
      </c>
      <c r="T7" s="3"/>
    </row>
    <row r="8" spans="1:20">
      <c r="A8" s="2">
        <v>45074</v>
      </c>
      <c r="B8" s="3" t="s">
        <v>30</v>
      </c>
      <c r="C8" s="3" t="s">
        <v>20</v>
      </c>
      <c r="D8" s="3" t="s">
        <v>31</v>
      </c>
      <c r="E8" s="3" t="s">
        <v>22</v>
      </c>
      <c r="F8" s="3" t="s">
        <v>29</v>
      </c>
      <c r="G8" s="4">
        <v>0.4229166666666667</v>
      </c>
      <c r="H8" s="4">
        <v>0.6423611111111112</v>
      </c>
      <c r="I8" s="5">
        <v>0.2194444444444444</v>
      </c>
      <c r="J8" s="4"/>
      <c r="K8" s="4">
        <v>0.6340277777777777</v>
      </c>
      <c r="L8" s="5">
        <f>IF(J8&gt;0,MOD(K8-J8,1),"")</f>
        <v>0.19652777777777777</v>
      </c>
      <c r="M8" s="5">
        <v>0.1215277777777778</v>
      </c>
      <c r="N8" s="5">
        <v>0.1666666666666667</v>
      </c>
      <c r="O8" s="3">
        <v>1</v>
      </c>
      <c r="P8" s="3">
        <v>1</v>
      </c>
      <c r="Q8" s="3" t="s">
        <v>24</v>
      </c>
      <c r="R8" s="3" t="s">
        <v>24</v>
      </c>
      <c r="S8" s="5">
        <f>_xlfn.IFS(F8="2C1",I8,F8="3C1",I8*0.666666666667,F8="3C2",I8*0.333333333333,F8="3CX","",F8="4C1",I8*0.5,F8="4C2",I8*0.5,F8="4C3","",F8="4CR","",F8="2CR","",F8="2CO","",F8="4CX","",TRUE,"")</f>
        <v/>
      </c>
      <c r="T8" s="3" t="s">
        <v>34</v>
      </c>
    </row>
    <row r="9" spans="1:20">
      <c r="A9" s="2">
        <v>45076</v>
      </c>
      <c r="B9" s="3" t="s">
        <v>33</v>
      </c>
      <c r="C9" s="3" t="s">
        <v>31</v>
      </c>
      <c r="D9" s="3" t="s">
        <v>20</v>
      </c>
      <c r="E9" s="3" t="s">
        <v>28</v>
      </c>
      <c r="F9" s="3" t="s">
        <v>29</v>
      </c>
      <c r="G9" s="4">
        <v>0.8548611111111111</v>
      </c>
      <c r="H9" s="4">
        <v>0.07291666666666667</v>
      </c>
      <c r="I9" s="5">
        <v>0.2180555555555556</v>
      </c>
      <c r="J9" s="4"/>
      <c r="K9" s="4">
        <v>0.06597222222222222</v>
      </c>
      <c r="L9" s="5">
        <f>IF(J9&gt;0,MOD(K9-J9,1),"")</f>
        <v>0.2013888888888889</v>
      </c>
      <c r="M9" s="5">
        <v>0.04097222222222222</v>
      </c>
      <c r="N9" s="5">
        <v>0.1666666666666667</v>
      </c>
      <c r="O9" s="3">
        <v>1</v>
      </c>
      <c r="P9" s="3">
        <v>1</v>
      </c>
      <c r="Q9" s="3" t="s">
        <v>27</v>
      </c>
      <c r="R9" s="3" t="s">
        <v>24</v>
      </c>
      <c r="S9" s="5">
        <f>_xlfn.IFS(F9="2C1",I9,F9="3C1",I9*0.666666666667,F9="3C2",I9*0.333333333333,F9="3CX","",F9="4C1",I9*0.5,F9="4C2",I9*0.5,F9="4C3","",F9="4CR","",F9="2CR","",F9="2CO","",F9="4CX","",TRUE,"")</f>
        <v/>
      </c>
      <c r="T9" s="3"/>
    </row>
    <row r="10" spans="1:20">
      <c r="A10" s="2">
        <v>45080</v>
      </c>
      <c r="B10" s="3" t="s">
        <v>19</v>
      </c>
      <c r="C10" s="3" t="s">
        <v>20</v>
      </c>
      <c r="D10" s="3" t="s">
        <v>21</v>
      </c>
      <c r="E10" s="3" t="s">
        <v>28</v>
      </c>
      <c r="F10" s="3" t="s">
        <v>29</v>
      </c>
      <c r="G10" s="4">
        <v>0.9916666666666667</v>
      </c>
      <c r="H10" s="4">
        <v>0.08194444444444444</v>
      </c>
      <c r="I10" s="5">
        <v>0.09027777777777778</v>
      </c>
      <c r="J10" s="4"/>
      <c r="K10" s="4">
        <v>0.0763888888888889</v>
      </c>
      <c r="L10" s="5">
        <f>IF(J10&gt;0,MOD(K10-J10,1),"")</f>
        <v>0.07083333333333333</v>
      </c>
      <c r="M10" s="5">
        <v>0</v>
      </c>
      <c r="N10" s="5">
        <v>0.0625</v>
      </c>
      <c r="O10" s="3">
        <v>1</v>
      </c>
      <c r="P10" s="3">
        <v>1</v>
      </c>
      <c r="Q10" s="3" t="s">
        <v>24</v>
      </c>
      <c r="R10" s="3" t="s">
        <v>24</v>
      </c>
      <c r="S10" s="5">
        <f>_xlfn.IFS(F10="2C1",I10,F10="3C1",I10*0.666666666667,F10="3C2",I10*0.333333333333,F10="3CX","",F10="4C1",I10*0.5,F10="4C2",I10*0.5,F10="4C3","",F10="4CR","",F10="2CR","",F10="2CO","",F10="4CX","",TRUE,"")</f>
        <v/>
      </c>
      <c r="T10" s="3" t="s">
        <v>35</v>
      </c>
    </row>
    <row r="11" spans="1:20">
      <c r="A11" s="2">
        <v>45081</v>
      </c>
      <c r="B11" s="3" t="s">
        <v>26</v>
      </c>
      <c r="C11" s="3" t="s">
        <v>21</v>
      </c>
      <c r="D11" s="3" t="s">
        <v>20</v>
      </c>
      <c r="E11" s="3" t="s">
        <v>28</v>
      </c>
      <c r="F11" s="3" t="s">
        <v>29</v>
      </c>
      <c r="G11" s="4">
        <v>0.1513888888888889</v>
      </c>
      <c r="H11" s="4">
        <v>0.2645833333333333</v>
      </c>
      <c r="I11" s="5">
        <v>0.1131944444444444</v>
      </c>
      <c r="J11" s="4"/>
      <c r="K11" s="4">
        <v>0.2576388888888889</v>
      </c>
      <c r="L11" s="5">
        <f>IF(J11&gt;0,MOD(K11-J11,1),"")</f>
        <v>0.09166666666666666</v>
      </c>
      <c r="M11" s="5">
        <v>0</v>
      </c>
      <c r="N11" s="5">
        <v>0.08333333333333333</v>
      </c>
      <c r="O11" s="3">
        <v>1</v>
      </c>
      <c r="P11" s="3">
        <v>1</v>
      </c>
      <c r="Q11" s="3" t="s">
        <v>24</v>
      </c>
      <c r="R11" s="3" t="s">
        <v>24</v>
      </c>
      <c r="S11" s="5">
        <f>_xlfn.IFS(F11="2C1",I11,F11="3C1",I11*0.666666666667,F11="3C2",I11*0.333333333333,F11="3CX","",F11="4C1",I11*0.5,F11="4C2",I11*0.5,F11="4C3","",F11="4CR","",F11="2CR","",F11="2CO","",F11="4CX","",TRUE,"")</f>
        <v/>
      </c>
      <c r="T11" s="3"/>
    </row>
    <row r="12" spans="1:20">
      <c r="A12" s="6" t="s">
        <v>36</v>
      </c>
      <c r="B12" s="6"/>
      <c r="C12" s="6"/>
      <c r="D12" s="6"/>
      <c r="E12" s="6"/>
      <c r="F12" s="6"/>
      <c r="G12" s="6"/>
      <c r="H12" s="6"/>
      <c r="I12" s="7">
        <f>SUM(I2:I11)</f>
        <v>1.4729166666666667</v>
      </c>
      <c r="J12" s="8"/>
      <c r="K12" s="8"/>
      <c r="L12" s="7">
        <f>SUM(L2:L11)</f>
        <v>1.1027777777777779</v>
      </c>
      <c r="M12" s="7">
        <f>SUM(M2:M11)</f>
        <v>0.4673611111111111</v>
      </c>
      <c r="N12" s="7">
        <f>SUM(N2:N11)</f>
        <v>1.0215277777777778</v>
      </c>
      <c r="O12" s="8">
        <f>SUM(O2:O11)</f>
        <v>8</v>
      </c>
      <c r="P12" s="8">
        <f>SUM(P2:P11)</f>
        <v>8</v>
      </c>
      <c r="Q12" s="8"/>
      <c r="R12" s="8"/>
      <c r="S12" s="7">
        <f>SUM(S2:S11)</f>
        <v>0.0</v>
      </c>
      <c r="T12" s="8"/>
    </row>
    <row r="13" spans="1:20">
      <c r="A13" s="6" t="s">
        <v>37</v>
      </c>
      <c r="B13" s="6"/>
      <c r="C13" s="6"/>
      <c r="D13" s="6"/>
      <c r="E13" s="6"/>
      <c r="F13" s="6"/>
      <c r="G13" s="6"/>
      <c r="H13" s="6"/>
      <c r="I13" s="7">
        <v>547.3326388888889</v>
      </c>
      <c r="J13" s="8"/>
      <c r="K13" s="8"/>
      <c r="L13" s="7"/>
      <c r="M13" s="7">
        <v>199.4</v>
      </c>
      <c r="N13" s="7">
        <v>401.5784722222222</v>
      </c>
      <c r="O13" s="8">
        <v>1726</v>
      </c>
      <c r="P13" s="8">
        <v>1732</v>
      </c>
      <c r="Q13" s="8"/>
      <c r="R13" s="8"/>
      <c r="S13" s="7">
        <v>256.1013888888889</v>
      </c>
      <c r="T13" s="8"/>
    </row>
    <row r="14" spans="1:20">
      <c r="A14" s="6" t="s">
        <v>38</v>
      </c>
      <c r="B14" s="6"/>
      <c r="C14" s="6"/>
      <c r="D14" s="6"/>
      <c r="E14" s="6"/>
      <c r="F14" s="6"/>
      <c r="G14" s="6"/>
      <c r="H14" s="6"/>
      <c r="I14" s="7">
        <v>548.8055555555555</v>
      </c>
      <c r="J14" s="8"/>
      <c r="K14" s="8"/>
      <c r="L14" s="7"/>
      <c r="M14" s="7">
        <v>199.8673611111111</v>
      </c>
      <c r="N14" s="7">
        <v>402.6</v>
      </c>
      <c r="O14" s="8">
        <v>1734</v>
      </c>
      <c r="P14" s="8">
        <v>1740</v>
      </c>
      <c r="Q14" s="8"/>
      <c r="R14" s="8"/>
      <c r="S14" s="7">
        <v>256.1013888888889</v>
      </c>
      <c r="T14" s="8"/>
    </row>
    <row r="23" spans="1:20">
      <c r="A23" s="1" t="s">
        <v>0</v>
      </c>
      <c r="B23" s="1" t="s">
        <v>1</v>
      </c>
      <c r="C23" s="1" t="s">
        <v>2</v>
      </c>
      <c r="D23" s="1" t="s">
        <v>3</v>
      </c>
      <c r="E23" s="1" t="s">
        <v>4</v>
      </c>
      <c r="F23" s="1" t="s">
        <v>5</v>
      </c>
      <c r="G23" s="1" t="s">
        <v>6</v>
      </c>
      <c r="H23" s="1" t="s">
        <v>7</v>
      </c>
      <c r="I23" s="1" t="s">
        <v>8</v>
      </c>
      <c r="J23" s="1" t="s">
        <v>3</v>
      </c>
      <c r="K23" s="1" t="s">
        <v>9</v>
      </c>
      <c r="L23" s="1" t="s">
        <v>10</v>
      </c>
      <c r="M23" s="1" t="s">
        <v>11</v>
      </c>
      <c r="N23" s="1" t="s">
        <v>12</v>
      </c>
      <c r="O23" s="1" t="s">
        <v>13</v>
      </c>
      <c r="P23" s="1" t="s">
        <v>14</v>
      </c>
      <c r="Q23" s="1" t="s">
        <v>15</v>
      </c>
      <c r="R23" s="1" t="s">
        <v>16</v>
      </c>
      <c r="S23" s="1" t="s">
        <v>17</v>
      </c>
      <c r="T23" s="1" t="s">
        <v>18</v>
      </c>
    </row>
    <row r="24" spans="1:20">
      <c r="A24" s="2">
        <v>45095</v>
      </c>
      <c r="B24" s="3" t="s">
        <v>39</v>
      </c>
      <c r="C24" s="3" t="s">
        <v>20</v>
      </c>
      <c r="D24" s="3" t="s">
        <v>40</v>
      </c>
      <c r="E24" s="3" t="s">
        <v>32</v>
      </c>
      <c r="F24" s="3" t="s">
        <v>41</v>
      </c>
      <c r="G24" s="4">
        <v>0.5111111111111111</v>
      </c>
      <c r="H24" s="4">
        <v>0.08680555555555555</v>
      </c>
      <c r="I24" s="5">
        <v>0.5756944444444444</v>
      </c>
      <c r="J24" s="4"/>
      <c r="K24" s="4">
        <v>0.07916666666666666</v>
      </c>
      <c r="L24" s="5">
        <f>IF(J24&gt;0,MOD(K24-J24,1),"")</f>
        <v>0.5527777777777778</v>
      </c>
      <c r="M24" s="5">
        <v>0.3541666666666667</v>
      </c>
      <c r="N24" s="5">
        <v>0.5416666666666666</v>
      </c>
      <c r="O24" s="3">
        <v>1</v>
      </c>
      <c r="P24" s="3">
        <v>1</v>
      </c>
      <c r="Q24" s="3" t="s">
        <v>24</v>
      </c>
      <c r="R24" s="3" t="s">
        <v>24</v>
      </c>
      <c r="S24" s="5">
        <f>_xlfn.IFS(F24="2C1",I24,F24="3C1",I24*0.666666666667,F24="3C2",I24*0.333333333333,F24="3CX","",F24="4C1",I24*0.5,F24="4C2",I24*0.5,F24="4C3","",F24="4CR","",F24="2CR","",F24="2CO","",F24="4CX","",TRUE,"")</f>
        <v/>
      </c>
      <c r="T24" s="3" t="s">
        <v>42</v>
      </c>
    </row>
    <row r="25" spans="1:20">
      <c r="A25" s="2">
        <v>45098</v>
      </c>
      <c r="B25" s="3" t="s">
        <v>43</v>
      </c>
      <c r="C25" s="3" t="s">
        <v>40</v>
      </c>
      <c r="D25" s="3" t="s">
        <v>20</v>
      </c>
      <c r="E25" s="3" t="s">
        <v>44</v>
      </c>
      <c r="F25" s="3" t="s">
        <v>41</v>
      </c>
      <c r="G25" s="4">
        <v>0.1944444444444444</v>
      </c>
      <c r="H25" s="4">
        <v>0.8222222222222222</v>
      </c>
      <c r="I25" s="5">
        <v>0.6277777777777778</v>
      </c>
      <c r="J25" s="4"/>
      <c r="K25" s="4">
        <v>0.8166666666666667</v>
      </c>
      <c r="L25" s="5">
        <f>IF(J25&gt;0,MOD(K25-J25,1),"")</f>
        <v>0.6069444444444444</v>
      </c>
      <c r="M25" s="5">
        <v>0.3013888888888889</v>
      </c>
      <c r="N25" s="5">
        <v>0.5833333333333334</v>
      </c>
      <c r="O25" s="3">
        <v>1</v>
      </c>
      <c r="P25" s="3">
        <v>1</v>
      </c>
      <c r="Q25" s="3" t="s">
        <v>27</v>
      </c>
      <c r="R25" s="3" t="s">
        <v>45</v>
      </c>
      <c r="S25" s="5">
        <f>_xlfn.IFS(F25="2C1",I25,F25="3C1",I25*0.666666666667,F25="3C2",I25*0.333333333333,F25="3CX","",F25="4C1",I25*0.5,F25="4C2",I25*0.5,F25="4C3","",F25="4CR","",F25="2CR","",F25="2CO","",F25="4CX","",TRUE,"")</f>
        <v/>
      </c>
      <c r="T25" s="3"/>
    </row>
    <row r="26" spans="1:20">
      <c r="A26" s="2">
        <v>45099</v>
      </c>
      <c r="B26" s="3" t="s">
        <v>19</v>
      </c>
      <c r="C26" s="3" t="s">
        <v>20</v>
      </c>
      <c r="D26" s="3" t="s">
        <v>21</v>
      </c>
      <c r="E26" s="3" t="s">
        <v>44</v>
      </c>
      <c r="F26" s="3" t="s">
        <v>46</v>
      </c>
      <c r="G26" s="4">
        <v>0.99375</v>
      </c>
      <c r="H26" s="4">
        <v>0.09305555555555556</v>
      </c>
      <c r="I26" s="5">
        <v>0.09930555555555555</v>
      </c>
      <c r="J26" s="4"/>
      <c r="K26" s="4">
        <v>0.08541666666666667</v>
      </c>
      <c r="L26" s="5">
        <f>IF(J26&gt;0,MOD(K26-J26,1),"")</f>
        <v>0.0763888888888889</v>
      </c>
      <c r="M26" s="5">
        <v>0</v>
      </c>
      <c r="N26" s="5">
        <v>0.0763888888888889</v>
      </c>
      <c r="O26" s="3">
        <v>1</v>
      </c>
      <c r="P26" s="3">
        <v>1</v>
      </c>
      <c r="Q26" s="3" t="s">
        <v>24</v>
      </c>
      <c r="R26" s="3" t="s">
        <v>24</v>
      </c>
      <c r="S26" s="5">
        <f>_xlfn.IFS(F26="2C1",I26,F26="3C1",I26*0.666666666667,F26="3C2",I26*0.333333333333,F26="3CX","",F26="4C1",I26*0.5,F26="4C2",I26*0.5,F26="4C3","",F26="4CR","",F26="2CR","",F26="2CO","",F26="4CX","",TRUE,"")</f>
        <v>0.09930555555555555</v>
      </c>
      <c r="T26" s="3" t="s">
        <v>47</v>
      </c>
    </row>
    <row r="27" spans="1:20">
      <c r="A27" s="2">
        <v>45100</v>
      </c>
      <c r="B27" s="3" t="s">
        <v>26</v>
      </c>
      <c r="C27" s="3" t="s">
        <v>21</v>
      </c>
      <c r="D27" s="3" t="s">
        <v>20</v>
      </c>
      <c r="E27" s="3" t="s">
        <v>44</v>
      </c>
      <c r="F27" s="3" t="s">
        <v>46</v>
      </c>
      <c r="G27" s="4">
        <v>0.1506944444444444</v>
      </c>
      <c r="H27" s="4">
        <v>0.2597222222222222</v>
      </c>
      <c r="I27" s="5">
        <v>0.1090277777777778</v>
      </c>
      <c r="J27" s="4"/>
      <c r="K27" s="4">
        <v>0.25</v>
      </c>
      <c r="L27" s="5">
        <f>IF(J27&gt;0,MOD(K27-J27,1),"")</f>
        <v>0.08263888888888889</v>
      </c>
      <c r="M27" s="5">
        <v>0</v>
      </c>
      <c r="N27" s="5">
        <v>0.08263888888888889</v>
      </c>
      <c r="O27" s="3">
        <v>1</v>
      </c>
      <c r="P27" s="3">
        <v>1</v>
      </c>
      <c r="Q27" s="3" t="s">
        <v>24</v>
      </c>
      <c r="R27" s="3" t="s">
        <v>24</v>
      </c>
      <c r="S27" s="5">
        <f>_xlfn.IFS(F27="2C1",I27,F27="3C1",I27*0.666666666667,F27="3C2",I27*0.333333333333,F27="3CX","",F27="4C1",I27*0.5,F27="4C2",I27*0.5,F27="4C3","",F27="4CR","",F27="2CR","",F27="2CO","",F27="4CX","",TRUE,"")</f>
        <v>0.10902777777777778</v>
      </c>
      <c r="T27" s="3"/>
    </row>
    <row r="28" spans="1:20">
      <c r="A28" s="2">
        <v>45105</v>
      </c>
      <c r="B28" s="3" t="s">
        <v>39</v>
      </c>
      <c r="C28" s="3" t="s">
        <v>20</v>
      </c>
      <c r="D28" s="3" t="s">
        <v>40</v>
      </c>
      <c r="E28" s="3" t="s">
        <v>44</v>
      </c>
      <c r="F28" s="3" t="s">
        <v>48</v>
      </c>
      <c r="G28" s="4">
        <v>0.5104166666666666</v>
      </c>
      <c r="H28" s="4">
        <v>0.1097222222222222</v>
      </c>
      <c r="I28" s="5">
        <v>0.5993055555555555</v>
      </c>
      <c r="J28" s="4"/>
      <c r="K28" s="4">
        <v>0.1041666666666667</v>
      </c>
      <c r="L28" s="5">
        <f>IF(J28&gt;0,MOD(K28-J28,1),"")</f>
        <v>0.5763888888888888</v>
      </c>
      <c r="M28" s="5">
        <v>0.3541666666666667</v>
      </c>
      <c r="N28" s="5">
        <v>0.5729166666666666</v>
      </c>
      <c r="O28" s="3">
        <v>0</v>
      </c>
      <c r="P28" s="3">
        <v>0</v>
      </c>
      <c r="Q28" s="3" t="s">
        <v>24</v>
      </c>
      <c r="R28" s="3" t="s">
        <v>24</v>
      </c>
      <c r="S28" s="5">
        <f>_xlfn.IFS(F28="2C1",I28,F28="3C1",I28*0.666666666667,F28="3C2",I28*0.333333333333,F28="3CX","",F28="4C1",I28*0.5,F28="4C2",I28*0.5,F28="4C3","",F28="4CR","",F28="2CR","",F28="2CO","",F28="4CX","",TRUE,"")</f>
        <v>0.29965277777777777</v>
      </c>
      <c r="T28" s="3" t="s">
        <v>49</v>
      </c>
    </row>
    <row r="29" spans="1:20">
      <c r="A29" s="2">
        <v>45108</v>
      </c>
      <c r="B29" s="3" t="s">
        <v>43</v>
      </c>
      <c r="C29" s="3" t="s">
        <v>40</v>
      </c>
      <c r="D29" s="3" t="s">
        <v>20</v>
      </c>
      <c r="E29" s="3" t="s">
        <v>50</v>
      </c>
      <c r="F29" s="3" t="s">
        <v>51</v>
      </c>
      <c r="G29" s="4">
        <v>0.18125</v>
      </c>
      <c r="H29" s="4">
        <v>0.7965277777777777</v>
      </c>
      <c r="I29" s="5">
        <v>0.6152777777777778</v>
      </c>
      <c r="J29" s="4"/>
      <c r="K29" s="4">
        <v>0.7875</v>
      </c>
      <c r="L29" s="5">
        <f>IF(J29&gt;0,MOD(K29-J29,1),"")</f>
        <v>0.5923611111111111</v>
      </c>
      <c r="M29" s="5">
        <v>0.2756944444444445</v>
      </c>
      <c r="N29" s="5">
        <v>0.5916666666666667</v>
      </c>
      <c r="O29" s="3">
        <v>1</v>
      </c>
      <c r="P29" s="3">
        <v>1</v>
      </c>
      <c r="Q29" s="3" t="s">
        <v>27</v>
      </c>
      <c r="R29" s="3" t="s">
        <v>24</v>
      </c>
      <c r="S29" s="5">
        <f>_xlfn.IFS(F29="2C1",I29,F29="3C1",I29*0.666666666667,F29="3C2",I29*0.333333333333,F29="3CX","",F29="4C1",I29*0.5,F29="4C2",I29*0.5,F29="4C3","",F29="4CR","",F29="2CR","",F29="2CO","",F29="4CX","",TRUE,"")</f>
        <v>0.3076388888888889</v>
      </c>
      <c r="T29" s="3"/>
    </row>
    <row r="30" spans="1:20">
      <c r="A30" s="2">
        <v>45111</v>
      </c>
      <c r="B30" s="3" t="s">
        <v>52</v>
      </c>
      <c r="C30" s="3" t="s">
        <v>20</v>
      </c>
      <c r="D30" s="3" t="s">
        <v>53</v>
      </c>
      <c r="E30" s="3" t="s">
        <v>22</v>
      </c>
      <c r="F30" s="3" t="s">
        <v>51</v>
      </c>
      <c r="G30" s="4">
        <v>0.1444444444444444</v>
      </c>
      <c r="H30" s="4">
        <v>0.7076388888888889</v>
      </c>
      <c r="I30" s="5">
        <v>0.5631944444444444</v>
      </c>
      <c r="J30" s="4"/>
      <c r="K30" s="4">
        <v>0.6993055555555555</v>
      </c>
      <c r="L30" s="5">
        <f>IF(J30&gt;0,MOD(K30-J30,1),"")</f>
        <v>0.5388888888888889</v>
      </c>
      <c r="M30" s="5">
        <v>0.1868055555555556</v>
      </c>
      <c r="N30" s="5">
        <v>0.5381944444444444</v>
      </c>
      <c r="O30" s="3">
        <v>1</v>
      </c>
      <c r="P30" s="3">
        <v>1</v>
      </c>
      <c r="Q30" s="3" t="s">
        <v>24</v>
      </c>
      <c r="R30" s="3" t="s">
        <v>24</v>
      </c>
      <c r="S30" s="5">
        <f>_xlfn.IFS(F30="2C1",I30,F30="3C1",I30*0.666666666667,F30="3C2",I30*0.333333333333,F30="3CX","",F30="4C1",I30*0.5,F30="4C2",I30*0.5,F30="4C3","",F30="4CR","",F30="2CR","",F30="2CO","",F30="4CX","",TRUE,"")</f>
        <v>0.2815972222222222</v>
      </c>
      <c r="T30" s="3" t="s">
        <v>54</v>
      </c>
    </row>
    <row r="31" spans="1:20">
      <c r="A31" s="2">
        <v>45112</v>
      </c>
      <c r="B31" s="3" t="s">
        <v>55</v>
      </c>
      <c r="C31" s="3" t="s">
        <v>53</v>
      </c>
      <c r="D31" s="3" t="s">
        <v>20</v>
      </c>
      <c r="E31" s="3" t="s">
        <v>28</v>
      </c>
      <c r="F31" s="3" t="s">
        <v>48</v>
      </c>
      <c r="G31" s="4">
        <v>0.7111111111111111</v>
      </c>
      <c r="H31" s="4">
        <v>0.1819444444444444</v>
      </c>
      <c r="I31" s="5">
        <v>0.4708333333333333</v>
      </c>
      <c r="J31" s="4"/>
      <c r="K31" s="4">
        <v>0.1770833333333333</v>
      </c>
      <c r="L31" s="5">
        <f>IF(J31&gt;0,MOD(K31-J31,1),"")</f>
        <v>0.4576388888888889</v>
      </c>
      <c r="M31" s="5">
        <v>0.1847222222222222</v>
      </c>
      <c r="N31" s="5">
        <v>0.4548611111111111</v>
      </c>
      <c r="O31" s="3">
        <v>0</v>
      </c>
      <c r="P31" s="3">
        <v>0</v>
      </c>
      <c r="Q31" s="3" t="s">
        <v>24</v>
      </c>
      <c r="R31" s="3" t="s">
        <v>24</v>
      </c>
      <c r="S31" s="5">
        <f>_xlfn.IFS(F31="2C1",I31,F31="3C1",I31*0.666666666667,F31="3C2",I31*0.333333333333,F31="3CX","",F31="4C1",I31*0.5,F31="4C2",I31*0.5,F31="4C3","",F31="4CR","",F31="2CR","",F31="2CO","",F31="4CX","",TRUE,"")</f>
        <v>0.23541666666666666</v>
      </c>
      <c r="T31" s="3"/>
    </row>
    <row r="32" spans="1:20">
      <c r="A32" s="2">
        <v>45115</v>
      </c>
      <c r="B32" s="3" t="s">
        <v>56</v>
      </c>
      <c r="C32" s="3" t="s">
        <v>20</v>
      </c>
      <c r="D32" s="3" t="s">
        <v>57</v>
      </c>
      <c r="E32" s="3" t="s">
        <v>44</v>
      </c>
      <c r="F32" s="3" t="s">
        <v>58</v>
      </c>
      <c r="G32" s="4">
        <v>0.1972222222222222</v>
      </c>
      <c r="H32" s="4">
        <v>0.6548611111111111</v>
      </c>
      <c r="I32" s="5">
        <v>0.4576388888888889</v>
      </c>
      <c r="J32" s="4"/>
      <c r="K32" s="4">
        <v>0.6479166666666667</v>
      </c>
      <c r="L32" s="5">
        <f>IF(J32&gt;0,MOD(K32-J32,1),"")</f>
        <v>0.43819444444444444</v>
      </c>
      <c r="M32" s="5">
        <v>0.1340277777777778</v>
      </c>
      <c r="N32" s="5">
        <v>0.4375</v>
      </c>
      <c r="O32" s="3">
        <v>0</v>
      </c>
      <c r="P32" s="3">
        <v>0</v>
      </c>
      <c r="Q32" s="3" t="s">
        <v>24</v>
      </c>
      <c r="R32" s="3" t="s">
        <v>45</v>
      </c>
      <c r="S32" s="5">
        <f>_xlfn.IFS(F32="2C1",I32,F32="3C1",I32*0.666666666667,F32="3C2",I32*0.333333333333,F32="3CX","",F32="4C1",I32*0.5,F32="4C2",I32*0.5,F32="4C3","",F32="4CR","",F32="2CR","",F32="2CO","",F32="4CX","",TRUE,"")</f>
        <v>0.1525462962962963</v>
      </c>
      <c r="T32" s="3" t="s">
        <v>59</v>
      </c>
    </row>
    <row r="33" spans="1:20">
      <c r="A33" s="2">
        <v>45117</v>
      </c>
      <c r="B33" s="3" t="s">
        <v>60</v>
      </c>
      <c r="C33" s="3" t="s">
        <v>57</v>
      </c>
      <c r="D33" s="3" t="s">
        <v>20</v>
      </c>
      <c r="E33" s="3" t="s">
        <v>44</v>
      </c>
      <c r="F33" s="3" t="s">
        <v>51</v>
      </c>
      <c r="G33" s="4">
        <v>0.7430555555555556</v>
      </c>
      <c r="H33" s="4">
        <v>0.2715277777777778</v>
      </c>
      <c r="I33" s="5">
        <v>0.5284722222222222</v>
      </c>
      <c r="J33" s="4"/>
      <c r="K33" s="4">
        <v>0.2666666666666667</v>
      </c>
      <c r="L33" s="5">
        <f>IF(J33&gt;0,MOD(K33-J33,1),"")</f>
        <v>0.5097222222222222</v>
      </c>
      <c r="M33" s="5">
        <v>0.1527777777777778</v>
      </c>
      <c r="N33" s="5">
        <v>0.5069444444444444</v>
      </c>
      <c r="O33" s="3">
        <v>1</v>
      </c>
      <c r="P33" s="3">
        <v>1</v>
      </c>
      <c r="Q33" s="3" t="s">
        <v>27</v>
      </c>
      <c r="R33" s="3" t="s">
        <v>24</v>
      </c>
      <c r="S33" s="5">
        <f>_xlfn.IFS(F33="2C1",I33,F33="3C1",I33*0.666666666667,F33="3C2",I33*0.333333333333,F33="3CX","",F33="4C1",I33*0.5,F33="4C2",I33*0.5,F33="4C3","",F33="4CR","",F33="2CR","",F33="2CO","",F33="4CX","",TRUE,"")</f>
        <v>0.2642361111111111</v>
      </c>
      <c r="T33" s="3"/>
    </row>
    <row r="34" spans="1:20">
      <c r="A34" s="6" t="s">
        <v>36</v>
      </c>
      <c r="B34" s="6"/>
      <c r="C34" s="6"/>
      <c r="D34" s="6"/>
      <c r="E34" s="6"/>
      <c r="F34" s="6"/>
      <c r="G34" s="6"/>
      <c r="H34" s="6"/>
      <c r="I34" s="7">
        <f>SUM(I24:I33)</f>
        <v>4.646527777777778</v>
      </c>
      <c r="J34" s="8"/>
      <c r="K34" s="8"/>
      <c r="L34" s="7">
        <f>SUM(L24:L33)</f>
        <v>4.4319444444444445</v>
      </c>
      <c r="M34" s="7">
        <f>SUM(M24:M33)</f>
        <v>1.94375</v>
      </c>
      <c r="N34" s="7">
        <f>SUM(N24:N33)</f>
        <v>4.386111111111111</v>
      </c>
      <c r="O34" s="8">
        <f>SUM(O24:O33)</f>
        <v>7</v>
      </c>
      <c r="P34" s="8">
        <f>SUM(P24:P33)</f>
        <v>7</v>
      </c>
      <c r="Q34" s="8"/>
      <c r="R34" s="8"/>
      <c r="S34" s="7">
        <f>SUM(S24:S33)</f>
        <v>1.7493055555555554</v>
      </c>
      <c r="T34" s="8"/>
    </row>
    <row r="35" spans="1:20">
      <c r="A35" s="6" t="s">
        <v>37</v>
      </c>
      <c r="B35" s="6"/>
      <c r="C35" s="6"/>
      <c r="D35" s="6"/>
      <c r="E35" s="6"/>
      <c r="F35" s="6"/>
      <c r="G35" s="6"/>
      <c r="H35" s="6"/>
      <c r="I35" s="7">
        <v>548.8055555555555</v>
      </c>
      <c r="J35" s="8"/>
      <c r="K35" s="8"/>
      <c r="L35" s="7"/>
      <c r="M35" s="7">
        <v>199.8673611111111</v>
      </c>
      <c r="N35" s="7">
        <v>402.6</v>
      </c>
      <c r="O35" s="8">
        <v>1734</v>
      </c>
      <c r="P35" s="8">
        <v>1740</v>
      </c>
      <c r="Q35" s="8"/>
      <c r="R35" s="8"/>
      <c r="S35" s="7">
        <v>256.1013888888889</v>
      </c>
      <c r="T35" s="8"/>
    </row>
    <row r="36" spans="1:20">
      <c r="A36" s="6" t="s">
        <v>38</v>
      </c>
      <c r="B36" s="6"/>
      <c r="C36" s="6"/>
      <c r="D36" s="6"/>
      <c r="E36" s="6"/>
      <c r="F36" s="6"/>
      <c r="G36" s="6"/>
      <c r="H36" s="6"/>
      <c r="I36" s="7">
        <v>553.4520833333333</v>
      </c>
      <c r="J36" s="8"/>
      <c r="K36" s="8"/>
      <c r="L36" s="7"/>
      <c r="M36" s="7">
        <v>201.8111111111111</v>
      </c>
      <c r="N36" s="7">
        <v>406.9861111111111</v>
      </c>
      <c r="O36" s="8">
        <v>1741</v>
      </c>
      <c r="P36" s="8">
        <v>1747</v>
      </c>
      <c r="Q36" s="8"/>
      <c r="R36" s="8"/>
      <c r="S36" s="7">
        <v>257.8506944444445</v>
      </c>
      <c r="T36" s="8"/>
    </row>
    <row r="45" spans="1:20">
      <c r="A45" s="1" t="s">
        <v>0</v>
      </c>
      <c r="B45" s="1" t="s">
        <v>1</v>
      </c>
      <c r="C45" s="1" t="s">
        <v>2</v>
      </c>
      <c r="D45" s="1" t="s">
        <v>3</v>
      </c>
      <c r="E45" s="1" t="s">
        <v>4</v>
      </c>
      <c r="F45" s="1" t="s">
        <v>5</v>
      </c>
      <c r="G45" s="1" t="s">
        <v>6</v>
      </c>
      <c r="H45" s="1" t="s">
        <v>7</v>
      </c>
      <c r="I45" s="1" t="s">
        <v>8</v>
      </c>
      <c r="J45" s="1" t="s">
        <v>3</v>
      </c>
      <c r="K45" s="1" t="s">
        <v>9</v>
      </c>
      <c r="L45" s="1" t="s">
        <v>10</v>
      </c>
      <c r="M45" s="1" t="s">
        <v>11</v>
      </c>
      <c r="N45" s="1" t="s">
        <v>12</v>
      </c>
      <c r="O45" s="1" t="s">
        <v>13</v>
      </c>
      <c r="P45" s="1" t="s">
        <v>14</v>
      </c>
      <c r="Q45" s="1" t="s">
        <v>15</v>
      </c>
      <c r="R45" s="1" t="s">
        <v>16</v>
      </c>
      <c r="S45" s="1" t="s">
        <v>17</v>
      </c>
      <c r="T45" s="1" t="s">
        <v>18</v>
      </c>
    </row>
    <row r="46" spans="1:20">
      <c r="A46" s="2">
        <v>45121</v>
      </c>
      <c r="B46" s="3" t="s">
        <v>56</v>
      </c>
      <c r="C46" s="3" t="s">
        <v>20</v>
      </c>
      <c r="D46" s="3" t="s">
        <v>57</v>
      </c>
      <c r="E46" s="3" t="s">
        <v>32</v>
      </c>
      <c r="F46" s="3" t="s">
        <v>61</v>
      </c>
      <c r="G46" s="4"/>
      <c r="H46" s="4"/>
      <c r="I46" s="5"/>
      <c r="J46" s="4"/>
      <c r="K46" s="4"/>
      <c r="L46" s="5">
        <f>IF(J46&gt;0,MOD(K46-J46,1),"")</f>
        <v/>
      </c>
      <c r="M46" s="5">
        <v>0</v>
      </c>
      <c r="N46" s="5">
        <v>0</v>
      </c>
      <c r="O46" s="3">
        <v>0</v>
      </c>
      <c r="P46" s="3">
        <v>0</v>
      </c>
      <c r="Q46" s="3"/>
      <c r="R46" s="3"/>
      <c r="S46" s="5">
        <f>_xlfn.IFS(F46="2C1",I46,F46="3C1",I46*0.666666666667,F46="3C2",I46*0.333333333333,F46="3CX","",F46="4C1",I46*0.5,F46="4C2",I46*0.5,F46="4C3","",F46="4CR","",F46="2CR","",F46="2CO","",F46="4CX","",TRUE,"")</f>
        <v/>
      </c>
      <c r="T46" s="3" t="s">
        <v>62</v>
      </c>
    </row>
    <row r="47" spans="1:20">
      <c r="A47" s="2">
        <v>45123</v>
      </c>
      <c r="B47" s="3" t="s">
        <v>60</v>
      </c>
      <c r="C47" s="3" t="s">
        <v>57</v>
      </c>
      <c r="D47" s="3" t="s">
        <v>20</v>
      </c>
      <c r="E47" s="3" t="s">
        <v>32</v>
      </c>
      <c r="F47" s="3" t="s">
        <v>63</v>
      </c>
      <c r="G47" s="4">
        <v>0.7590277777777777</v>
      </c>
      <c r="H47" s="4">
        <v>0.2833333333333333</v>
      </c>
      <c r="I47" s="5">
        <v>0.5243055555555556</v>
      </c>
      <c r="J47" s="4"/>
      <c r="K47" s="4">
        <v>0.275</v>
      </c>
      <c r="L47" s="5">
        <f>IF(J47&gt;0,MOD(K47-J47,1),"")</f>
        <v>0.5041666666666667</v>
      </c>
      <c r="M47" s="5">
        <v>0.1368055555555556</v>
      </c>
      <c r="N47" s="5">
        <v>0.5</v>
      </c>
      <c r="O47" s="3">
        <v>0</v>
      </c>
      <c r="P47" s="3">
        <v>0</v>
      </c>
      <c r="Q47" s="3" t="s">
        <v>24</v>
      </c>
      <c r="R47" s="3" t="s">
        <v>24</v>
      </c>
      <c r="S47" s="5">
        <f>_xlfn.IFS(F47="2C1",I47,F47="3C1",I47*0.666666666667,F47="3C2",I47*0.333333333333,F47="3CX","",F47="4C1",I47*0.5,F47="4C2",I47*0.5,F47="4C3","",F47="4CR","",F47="2CR","",F47="2CO","",F47="4CX","",TRUE,"")</f>
        <v/>
      </c>
      <c r="T47" s="3"/>
    </row>
    <row r="48" spans="1:20">
      <c r="A48" s="2">
        <v>45126</v>
      </c>
      <c r="B48" s="3" t="s">
        <v>39</v>
      </c>
      <c r="C48" s="3" t="s">
        <v>20</v>
      </c>
      <c r="D48" s="3" t="s">
        <v>40</v>
      </c>
      <c r="E48" s="3" t="s">
        <v>44</v>
      </c>
      <c r="F48" s="3" t="s">
        <v>63</v>
      </c>
      <c r="G48" s="4">
        <v>0.5034722222222222</v>
      </c>
      <c r="H48" s="4">
        <v>0.1222222222222222</v>
      </c>
      <c r="I48" s="5">
        <v>0.61875</v>
      </c>
      <c r="J48" s="4"/>
      <c r="K48" s="4">
        <v>0.06736111111111111</v>
      </c>
      <c r="L48" s="5">
        <f>IF(J48&gt;0,MOD(K48-J48,1),"")</f>
        <v>0.5527777777777778</v>
      </c>
      <c r="M48" s="5">
        <v>0.3541666666666667</v>
      </c>
      <c r="N48" s="5">
        <v>0.5527777777777778</v>
      </c>
      <c r="O48" s="3">
        <v>0</v>
      </c>
      <c r="P48" s="3">
        <v>0</v>
      </c>
      <c r="Q48" s="3" t="s">
        <v>24</v>
      </c>
      <c r="R48" s="3" t="s">
        <v>24</v>
      </c>
      <c r="S48" s="5">
        <f>_xlfn.IFS(F48="2C1",I48,F48="3C1",I48*0.666666666667,F48="3C2",I48*0.333333333333,F48="3CX","",F48="4C1",I48*0.5,F48="4C2",I48*0.5,F48="4C3","",F48="4CR","",F48="2CR","",F48="2CO","",F48="4CX","",TRUE,"")</f>
        <v/>
      </c>
      <c r="T48" s="3" t="s">
        <v>64</v>
      </c>
    </row>
    <row r="49" spans="1:20">
      <c r="A49" s="2">
        <v>45129</v>
      </c>
      <c r="B49" s="3" t="s">
        <v>43</v>
      </c>
      <c r="C49" s="3" t="s">
        <v>40</v>
      </c>
      <c r="D49" s="3" t="s">
        <v>20</v>
      </c>
      <c r="E49" s="3" t="s">
        <v>50</v>
      </c>
      <c r="F49" s="3" t="s">
        <v>63</v>
      </c>
      <c r="G49" s="4">
        <v>0.2041666666666667</v>
      </c>
      <c r="H49" s="4">
        <v>0.7972222222222223</v>
      </c>
      <c r="I49" s="5">
        <v>0.5930555555555556</v>
      </c>
      <c r="J49" s="4"/>
      <c r="K49" s="4">
        <v>0.7923611111111111</v>
      </c>
      <c r="L49" s="5">
        <f>IF(J49&gt;0,MOD(K49-J49,1),"")</f>
        <v>0.5763888888888888</v>
      </c>
      <c r="M49" s="5">
        <v>0.2763888888888889</v>
      </c>
      <c r="N49" s="5">
        <v>0.5763888888888888</v>
      </c>
      <c r="O49" s="3">
        <v>0</v>
      </c>
      <c r="P49" s="3">
        <v>0</v>
      </c>
      <c r="Q49" s="3" t="s">
        <v>24</v>
      </c>
      <c r="R49" s="3" t="s">
        <v>24</v>
      </c>
      <c r="S49" s="5">
        <f>_xlfn.IFS(F49="2C1",I49,F49="3C1",I49*0.666666666667,F49="3C2",I49*0.333333333333,F49="3CX","",F49="4C1",I49*0.5,F49="4C2",I49*0.5,F49="4C3","",F49="4CR","",F49="2CR","",F49="2CO","",F49="4CX","",TRUE,"")</f>
        <v/>
      </c>
      <c r="T49" s="3"/>
    </row>
    <row r="50" spans="1:20">
      <c r="A50" s="2">
        <v>45132</v>
      </c>
      <c r="B50" s="3" t="s">
        <v>56</v>
      </c>
      <c r="C50" s="3" t="s">
        <v>20</v>
      </c>
      <c r="D50" s="3" t="s">
        <v>57</v>
      </c>
      <c r="E50" s="3" t="s">
        <v>50</v>
      </c>
      <c r="F50" s="3" t="s">
        <v>61</v>
      </c>
      <c r="G50" s="4"/>
      <c r="H50" s="4"/>
      <c r="I50" s="5"/>
      <c r="J50" s="4"/>
      <c r="K50" s="4"/>
      <c r="L50" s="5">
        <f>IF(J50&gt;0,MOD(K50-J50,1),"")</f>
        <v/>
      </c>
      <c r="M50" s="5">
        <v>0</v>
      </c>
      <c r="N50" s="5">
        <v>0</v>
      </c>
      <c r="O50" s="3">
        <v>0</v>
      </c>
      <c r="P50" s="3">
        <v>0</v>
      </c>
      <c r="Q50" s="3" t="s">
        <v>24</v>
      </c>
      <c r="R50" s="3" t="s">
        <v>24</v>
      </c>
      <c r="S50" s="5">
        <f>_xlfn.IFS(F50="2C1",I50,F50="3C1",I50*0.666666666667,F50="3C2",I50*0.333333333333,F50="3CX","",F50="4C1",I50*0.5,F50="4C2",I50*0.5,F50="4C3","",F50="4CR","",F50="2CR","",F50="2CO","",F50="4CX","",TRUE,"")</f>
        <v/>
      </c>
      <c r="T50" s="3" t="s">
        <v>65</v>
      </c>
    </row>
    <row r="51" spans="1:20">
      <c r="A51" s="2">
        <v>45135</v>
      </c>
      <c r="B51" s="3" t="s">
        <v>60</v>
      </c>
      <c r="C51" s="3" t="s">
        <v>57</v>
      </c>
      <c r="D51" s="3" t="s">
        <v>20</v>
      </c>
      <c r="E51" s="3" t="s">
        <v>50</v>
      </c>
      <c r="F51" s="3" t="s">
        <v>63</v>
      </c>
      <c r="G51" s="4">
        <v>0.7576388888888889</v>
      </c>
      <c r="H51" s="4">
        <v>0.2631944444444445</v>
      </c>
      <c r="I51" s="5">
        <v>0.5055555555555555</v>
      </c>
      <c r="J51" s="4"/>
      <c r="K51" s="4">
        <v>0.25625</v>
      </c>
      <c r="L51" s="5">
        <f>IF(J51&gt;0,MOD(K51-J51,1),"")</f>
        <v>0.4895833333333333</v>
      </c>
      <c r="M51" s="5">
        <v>0.1381944444444445</v>
      </c>
      <c r="N51" s="5">
        <v>0.4895833333333333</v>
      </c>
      <c r="O51" s="3">
        <v>0</v>
      </c>
      <c r="P51" s="3">
        <v>0</v>
      </c>
      <c r="Q51" s="3" t="s">
        <v>24</v>
      </c>
      <c r="R51" s="3" t="s">
        <v>24</v>
      </c>
      <c r="S51" s="5">
        <f>_xlfn.IFS(F51="2C1",I51,F51="3C1",I51*0.666666666667,F51="3C2",I51*0.333333333333,F51="3CX","",F51="4C1",I51*0.5,F51="4C2",I51*0.5,F51="4C3","",F51="4CR","",F51="2CR","",F51="2CO","",F51="4CX","",TRUE,"")</f>
        <v/>
      </c>
      <c r="T51" s="3"/>
    </row>
    <row r="52" spans="1:20">
      <c r="A52" s="2">
        <v>45138</v>
      </c>
      <c r="B52" s="3" t="s">
        <v>56</v>
      </c>
      <c r="C52" s="3" t="s">
        <v>20</v>
      </c>
      <c r="D52" s="3" t="s">
        <v>57</v>
      </c>
      <c r="E52" s="3" t="s">
        <v>44</v>
      </c>
      <c r="F52" s="3" t="s">
        <v>48</v>
      </c>
      <c r="G52" s="4">
        <v>0.1986111111111111</v>
      </c>
      <c r="H52" s="4">
        <v>0.6784722222222223</v>
      </c>
      <c r="I52" s="5">
        <v>0.4798611111111111</v>
      </c>
      <c r="J52" s="4"/>
      <c r="K52" s="4">
        <v>0.6666666666666666</v>
      </c>
      <c r="L52" s="5">
        <f>IF(J52&gt;0,MOD(K52-J52,1),"")</f>
        <v>0.4534722222222222</v>
      </c>
      <c r="M52" s="5">
        <v>0.1576388888888889</v>
      </c>
      <c r="N52" s="5">
        <v>0.4513888888888889</v>
      </c>
      <c r="O52" s="3">
        <v>0</v>
      </c>
      <c r="P52" s="3">
        <v>0</v>
      </c>
      <c r="Q52" s="3" t="s">
        <v>24</v>
      </c>
      <c r="R52" s="3" t="s">
        <v>24</v>
      </c>
      <c r="S52" s="5">
        <f>_xlfn.IFS(F52="2C1",I52,F52="3C1",I52*0.666666666667,F52="3C2",I52*0.333333333333,F52="3CX","",F52="4C1",I52*0.5,F52="4C2",I52*0.5,F52="4C3","",F52="4CR","",F52="2CR","",F52="2CO","",F52="4CX","",TRUE,"")</f>
        <v>0.23993055555555556</v>
      </c>
      <c r="T52" s="3" t="s">
        <v>66</v>
      </c>
    </row>
    <row r="53" spans="1:20">
      <c r="A53" s="2">
        <v>45140</v>
      </c>
      <c r="B53" s="3" t="s">
        <v>60</v>
      </c>
      <c r="C53" s="3" t="s">
        <v>57</v>
      </c>
      <c r="D53" s="3" t="s">
        <v>20</v>
      </c>
      <c r="E53" s="3" t="s">
        <v>32</v>
      </c>
      <c r="F53" s="3" t="s">
        <v>48</v>
      </c>
      <c r="G53" s="4">
        <v>0.7569444444444444</v>
      </c>
      <c r="H53" s="4">
        <v>0.2708333333333333</v>
      </c>
      <c r="I53" s="5">
        <v>0.5138888888888888</v>
      </c>
      <c r="J53" s="4"/>
      <c r="K53" s="4">
        <v>0.2604166666666667</v>
      </c>
      <c r="L53" s="5">
        <f>IF(J53&gt;0,MOD(K53-J53,1),"")</f>
        <v>0.4909722222222222</v>
      </c>
      <c r="M53" s="5">
        <v>0.1388888888888889</v>
      </c>
      <c r="N53" s="5">
        <v>0.4895833333333333</v>
      </c>
      <c r="O53" s="3">
        <v>0</v>
      </c>
      <c r="P53" s="3">
        <v>0</v>
      </c>
      <c r="Q53" s="3" t="s">
        <v>24</v>
      </c>
      <c r="R53" s="3" t="s">
        <v>24</v>
      </c>
      <c r="S53" s="5">
        <f>_xlfn.IFS(F53="2C1",I53,F53="3C1",I53*0.666666666667,F53="3C2",I53*0.333333333333,F53="3CX","",F53="4C1",I53*0.5,F53="4C2",I53*0.5,F53="4C3","",F53="4CR","",F53="2CR","",F53="2CO","",F53="4CX","",TRUE,"")</f>
        <v>0.2569444444444444</v>
      </c>
      <c r="T53" s="3"/>
    </row>
    <row r="54" spans="1:20">
      <c r="A54" s="2">
        <v>45143</v>
      </c>
      <c r="B54" s="3" t="s">
        <v>56</v>
      </c>
      <c r="C54" s="3" t="s">
        <v>20</v>
      </c>
      <c r="D54" s="3" t="s">
        <v>57</v>
      </c>
      <c r="E54" s="3" t="s">
        <v>44</v>
      </c>
      <c r="F54" s="3" t="s">
        <v>58</v>
      </c>
      <c r="G54" s="4">
        <v>0.2013888888888889</v>
      </c>
      <c r="H54" s="4">
        <v>0.6770833333333334</v>
      </c>
      <c r="I54" s="5">
        <v>0.4756944444444444</v>
      </c>
      <c r="J54" s="4"/>
      <c r="K54" s="4">
        <v>0.6673611111111111</v>
      </c>
      <c r="L54" s="5">
        <f>IF(J54&gt;0,MOD(K54-J54,1),"")</f>
        <v>0.4534722222222222</v>
      </c>
      <c r="M54" s="5">
        <v>0.15625</v>
      </c>
      <c r="N54" s="5">
        <v>0.4465277777777778</v>
      </c>
      <c r="O54" s="3">
        <v>0</v>
      </c>
      <c r="P54" s="3">
        <v>0</v>
      </c>
      <c r="Q54" s="3" t="s">
        <v>24</v>
      </c>
      <c r="R54" s="3" t="s">
        <v>24</v>
      </c>
      <c r="S54" s="5">
        <f>_xlfn.IFS(F54="2C1",I54,F54="3C1",I54*0.666666666667,F54="3C2",I54*0.333333333333,F54="3CX","",F54="4C1",I54*0.5,F54="4C2",I54*0.5,F54="4C3","",F54="4CR","",F54="2CR","",F54="2CO","",F54="4CX","",TRUE,"")</f>
        <v>0.15856481481481483</v>
      </c>
      <c r="T54" s="3" t="s">
        <v>67</v>
      </c>
    </row>
    <row r="55" spans="1:20">
      <c r="A55" s="2">
        <v>45145</v>
      </c>
      <c r="B55" s="3" t="s">
        <v>60</v>
      </c>
      <c r="C55" s="3" t="s">
        <v>57</v>
      </c>
      <c r="D55" s="3" t="s">
        <v>20</v>
      </c>
      <c r="E55" s="3" t="s">
        <v>44</v>
      </c>
      <c r="F55" s="3" t="s">
        <v>51</v>
      </c>
      <c r="G55" s="4">
        <v>0.7409722222222223</v>
      </c>
      <c r="H55" s="4">
        <v>0.2458333333333333</v>
      </c>
      <c r="I55" s="5">
        <v>0.5048611111111111</v>
      </c>
      <c r="J55" s="4"/>
      <c r="K55" s="4">
        <v>0.2361111111111111</v>
      </c>
      <c r="L55" s="5">
        <f>IF(J55&gt;0,MOD(K55-J55,1),"")</f>
        <v>0.48333333333333334</v>
      </c>
      <c r="M55" s="5">
        <v>0.1548611111111111</v>
      </c>
      <c r="N55" s="5">
        <v>0.4763888888888889</v>
      </c>
      <c r="O55" s="3">
        <v>1</v>
      </c>
      <c r="P55" s="3">
        <v>1</v>
      </c>
      <c r="Q55" s="3" t="s">
        <v>24</v>
      </c>
      <c r="R55" s="3" t="s">
        <v>24</v>
      </c>
      <c r="S55" s="5">
        <f>_xlfn.IFS(F55="2C1",I55,F55="3C1",I55*0.666666666667,F55="3C2",I55*0.333333333333,F55="3CX","",F55="4C1",I55*0.5,F55="4C2",I55*0.5,F55="4C3","",F55="4CR","",F55="2CR","",F55="2CO","",F55="4CX","",TRUE,"")</f>
        <v>0.25243055555555555</v>
      </c>
      <c r="T55" s="3"/>
    </row>
    <row r="56" spans="1:20">
      <c r="A56" s="6" t="s">
        <v>36</v>
      </c>
      <c r="B56" s="6"/>
      <c r="C56" s="6"/>
      <c r="D56" s="6"/>
      <c r="E56" s="6"/>
      <c r="F56" s="6"/>
      <c r="G56" s="6"/>
      <c r="H56" s="6"/>
      <c r="I56" s="7">
        <f>SUM(I46:I55)</f>
        <v>4.215972222222222</v>
      </c>
      <c r="J56" s="8"/>
      <c r="K56" s="8"/>
      <c r="L56" s="7">
        <f>SUM(L46:L55)</f>
        <v>4.004166666666666</v>
      </c>
      <c r="M56" s="7">
        <f>SUM(M46:M55)</f>
        <v>1.5131944444444445</v>
      </c>
      <c r="N56" s="7">
        <f>SUM(N46:N55)</f>
        <v>3.982638888888889</v>
      </c>
      <c r="O56" s="8">
        <f>SUM(O46:O55)</f>
        <v>1</v>
      </c>
      <c r="P56" s="8">
        <f>SUM(P46:P55)</f>
        <v>1</v>
      </c>
      <c r="Q56" s="8"/>
      <c r="R56" s="8"/>
      <c r="S56" s="7">
        <f>SUM(S46:S55)</f>
        <v>0.9076388888888889</v>
      </c>
      <c r="T56" s="8"/>
    </row>
    <row r="57" spans="1:20">
      <c r="A57" s="6" t="s">
        <v>37</v>
      </c>
      <c r="B57" s="6"/>
      <c r="C57" s="6"/>
      <c r="D57" s="6"/>
      <c r="E57" s="6"/>
      <c r="F57" s="6"/>
      <c r="G57" s="6"/>
      <c r="H57" s="6"/>
      <c r="I57" s="7">
        <v>553.4520833333333</v>
      </c>
      <c r="J57" s="8"/>
      <c r="K57" s="8"/>
      <c r="L57" s="7"/>
      <c r="M57" s="7">
        <v>201.8111111111111</v>
      </c>
      <c r="N57" s="7">
        <v>406.9861111111111</v>
      </c>
      <c r="O57" s="8">
        <v>1741</v>
      </c>
      <c r="P57" s="8">
        <v>1747</v>
      </c>
      <c r="Q57" s="8"/>
      <c r="R57" s="8"/>
      <c r="S57" s="7">
        <v>257.8506944444445</v>
      </c>
      <c r="T57" s="8"/>
    </row>
    <row r="58" spans="1:20">
      <c r="A58" s="6" t="s">
        <v>38</v>
      </c>
      <c r="B58" s="6"/>
      <c r="C58" s="6"/>
      <c r="D58" s="6"/>
      <c r="E58" s="6"/>
      <c r="F58" s="6"/>
      <c r="G58" s="6"/>
      <c r="H58" s="6"/>
      <c r="I58" s="7">
        <v>557.6680555555556</v>
      </c>
      <c r="J58" s="8"/>
      <c r="K58" s="8"/>
      <c r="L58" s="7"/>
      <c r="M58" s="7">
        <v>203.3243055555556</v>
      </c>
      <c r="N58" s="7">
        <v>410.96875</v>
      </c>
      <c r="O58" s="8">
        <v>1742</v>
      </c>
      <c r="P58" s="8">
        <v>1748</v>
      </c>
      <c r="Q58" s="8"/>
      <c r="R58" s="8"/>
      <c r="S58" s="7">
        <v>258.7583333333333</v>
      </c>
      <c r="T58" s="8"/>
    </row>
    <row r="67" spans="1:20">
      <c r="A67" s="1" t="s">
        <v>0</v>
      </c>
      <c r="B67" s="1" t="s">
        <v>1</v>
      </c>
      <c r="C67" s="1" t="s">
        <v>2</v>
      </c>
      <c r="D67" s="1" t="s">
        <v>3</v>
      </c>
      <c r="E67" s="1" t="s">
        <v>4</v>
      </c>
      <c r="F67" s="1" t="s">
        <v>5</v>
      </c>
      <c r="G67" s="1" t="s">
        <v>6</v>
      </c>
      <c r="H67" s="1" t="s">
        <v>7</v>
      </c>
      <c r="I67" s="1" t="s">
        <v>8</v>
      </c>
      <c r="J67" s="1" t="s">
        <v>3</v>
      </c>
      <c r="K67" s="1" t="s">
        <v>9</v>
      </c>
      <c r="L67" s="1" t="s">
        <v>10</v>
      </c>
      <c r="M67" s="1" t="s">
        <v>11</v>
      </c>
      <c r="N67" s="1" t="s">
        <v>12</v>
      </c>
      <c r="O67" s="1" t="s">
        <v>13</v>
      </c>
      <c r="P67" s="1" t="s">
        <v>14</v>
      </c>
      <c r="Q67" s="1" t="s">
        <v>15</v>
      </c>
      <c r="R67" s="1" t="s">
        <v>16</v>
      </c>
      <c r="S67" s="1" t="s">
        <v>17</v>
      </c>
      <c r="T67" s="1" t="s">
        <v>18</v>
      </c>
    </row>
    <row r="68" spans="1:20">
      <c r="A68" s="2">
        <v>45152</v>
      </c>
      <c r="B68" s="3" t="s">
        <v>56</v>
      </c>
      <c r="C68" s="3" t="s">
        <v>20</v>
      </c>
      <c r="D68" s="3" t="s">
        <v>57</v>
      </c>
      <c r="E68" s="3" t="s">
        <v>44</v>
      </c>
      <c r="F68" s="3" t="s">
        <v>58</v>
      </c>
      <c r="G68" s="4">
        <v>0.1979166666666667</v>
      </c>
      <c r="H68" s="4">
        <v>0.6631944444444444</v>
      </c>
      <c r="I68" s="5">
        <v>0.4652777777777778</v>
      </c>
      <c r="J68" s="4"/>
      <c r="K68" s="4">
        <v>0.65625</v>
      </c>
      <c r="L68" s="5">
        <f>IF(J68&gt;0,MOD(K68-J68,1),"")</f>
        <v>0.4423611111111111</v>
      </c>
      <c r="M68" s="5">
        <v>0.1423611111111111</v>
      </c>
      <c r="N68" s="5">
        <v>0.4423611111111111</v>
      </c>
      <c r="O68" s="3">
        <v>0</v>
      </c>
      <c r="P68" s="3">
        <v>0</v>
      </c>
      <c r="Q68" s="3" t="s">
        <v>24</v>
      </c>
      <c r="R68" s="3" t="s">
        <v>24</v>
      </c>
      <c r="S68" s="5">
        <f>_xlfn.IFS(F68="2C1",I68,F68="3C1",I68*0.666666666667,F68="3C2",I68*0.333333333333,F68="3CX","",F68="4C1",I68*0.5,F68="4C2",I68*0.5,F68="4C3","",F68="4CR","",F68="2CR","",F68="2CO","",F68="4CX","",TRUE,"")</f>
        <v>0.1550925925925926</v>
      </c>
      <c r="T68" s="3" t="s">
        <v>68</v>
      </c>
    </row>
    <row r="69" spans="1:20">
      <c r="A69" s="2">
        <v>45154</v>
      </c>
      <c r="B69" s="3" t="s">
        <v>60</v>
      </c>
      <c r="C69" s="3" t="s">
        <v>57</v>
      </c>
      <c r="D69" s="3" t="s">
        <v>20</v>
      </c>
      <c r="E69" s="3" t="s">
        <v>32</v>
      </c>
      <c r="F69" s="3" t="s">
        <v>51</v>
      </c>
      <c r="G69" s="4">
        <v>0.7743055555555556</v>
      </c>
      <c r="H69" s="4">
        <v>0.2763888888888889</v>
      </c>
      <c r="I69" s="5">
        <v>0.5020833333333333</v>
      </c>
      <c r="J69" s="4"/>
      <c r="K69" s="4">
        <v>0.2694444444444444</v>
      </c>
      <c r="L69" s="5">
        <f>IF(J69&gt;0,MOD(K69-J69,1),"")</f>
        <v>0.48333333333333334</v>
      </c>
      <c r="M69" s="5">
        <v>0.1215277777777778</v>
      </c>
      <c r="N69" s="5">
        <v>0.4826388888888889</v>
      </c>
      <c r="O69" s="3">
        <v>1</v>
      </c>
      <c r="P69" s="3">
        <v>1</v>
      </c>
      <c r="Q69" s="3" t="s">
        <v>24</v>
      </c>
      <c r="R69" s="3" t="s">
        <v>24</v>
      </c>
      <c r="S69" s="5">
        <f>_xlfn.IFS(F69="2C1",I69,F69="3C1",I69*0.666666666667,F69="3C2",I69*0.333333333333,F69="3CX","",F69="4C1",I69*0.5,F69="4C2",I69*0.5,F69="4C3","",F69="4CR","",F69="2CR","",F69="2CO","",F69="4CX","",TRUE,"")</f>
        <v>0.25104166666666666</v>
      </c>
      <c r="T69" s="3"/>
    </row>
    <row r="70" spans="1:20">
      <c r="A70" s="2">
        <v>45157</v>
      </c>
      <c r="B70" s="3" t="s">
        <v>56</v>
      </c>
      <c r="C70" s="3" t="s">
        <v>20</v>
      </c>
      <c r="D70" s="3" t="s">
        <v>57</v>
      </c>
      <c r="E70" s="3" t="s">
        <v>50</v>
      </c>
      <c r="F70" s="3" t="s">
        <v>61</v>
      </c>
      <c r="G70" s="4"/>
      <c r="H70" s="4"/>
      <c r="I70" s="5"/>
      <c r="J70" s="4"/>
      <c r="K70" s="4"/>
      <c r="L70" s="5">
        <f>IF(J70&gt;0,MOD(K70-J70,1),"")</f>
        <v/>
      </c>
      <c r="M70" s="5">
        <v>0</v>
      </c>
      <c r="N70" s="5">
        <v>0</v>
      </c>
      <c r="O70" s="3">
        <v>0</v>
      </c>
      <c r="P70" s="3">
        <v>0</v>
      </c>
      <c r="Q70" s="3" t="s">
        <v>24</v>
      </c>
      <c r="R70" s="3" t="s">
        <v>24</v>
      </c>
      <c r="S70" s="5">
        <f>_xlfn.IFS(F70="2C1",I70,F70="3C1",I70*0.666666666667,F70="3C2",I70*0.333333333333,F70="3CX","",F70="4C1",I70*0.5,F70="4C2",I70*0.5,F70="4C3","",F70="4CR","",F70="2CR","",F70="2CO","",F70="4CX","",TRUE,"")</f>
        <v/>
      </c>
      <c r="T70" s="3" t="s">
        <v>69</v>
      </c>
    </row>
    <row r="71" spans="1:20">
      <c r="A71" s="2">
        <v>45159</v>
      </c>
      <c r="B71" s="3" t="s">
        <v>60</v>
      </c>
      <c r="C71" s="3" t="s">
        <v>57</v>
      </c>
      <c r="D71" s="3" t="s">
        <v>20</v>
      </c>
      <c r="E71" s="3" t="s">
        <v>44</v>
      </c>
      <c r="F71" s="3" t="s">
        <v>63</v>
      </c>
      <c r="G71" s="4">
        <v>0.75</v>
      </c>
      <c r="H71" s="4">
        <v>0.2791666666666667</v>
      </c>
      <c r="I71" s="5">
        <v>0.5291666666666667</v>
      </c>
      <c r="J71" s="4"/>
      <c r="K71" s="4">
        <v>0.2743055555555556</v>
      </c>
      <c r="L71" s="5">
        <f>IF(J71&gt;0,MOD(K71-J71,1),"")</f>
        <v>0.49722222222222223</v>
      </c>
      <c r="M71" s="5">
        <v>0.1458333333333333</v>
      </c>
      <c r="N71" s="5">
        <v>0.4930555555555556</v>
      </c>
      <c r="O71" s="3">
        <v>0</v>
      </c>
      <c r="P71" s="3">
        <v>0</v>
      </c>
      <c r="Q71" s="3" t="s">
        <v>24</v>
      </c>
      <c r="R71" s="3" t="s">
        <v>24</v>
      </c>
      <c r="S71" s="5">
        <f>_xlfn.IFS(F71="2C1",I71,F71="3C1",I71*0.666666666667,F71="3C2",I71*0.333333333333,F71="3CX","",F71="4C1",I71*0.5,F71="4C2",I71*0.5,F71="4C3","",F71="4CR","",F71="2CR","",F71="2CO","",F71="4CX","",TRUE,"")</f>
        <v/>
      </c>
      <c r="T71" s="3"/>
    </row>
    <row r="72" spans="1:20">
      <c r="A72" s="2">
        <v>45163</v>
      </c>
      <c r="B72" s="3" t="s">
        <v>52</v>
      </c>
      <c r="C72" s="3" t="s">
        <v>20</v>
      </c>
      <c r="D72" s="3" t="s">
        <v>53</v>
      </c>
      <c r="E72" s="3" t="s">
        <v>28</v>
      </c>
      <c r="F72" s="3" t="s">
        <v>51</v>
      </c>
      <c r="G72" s="4">
        <v>0.04375</v>
      </c>
      <c r="H72" s="4">
        <v>0.6048611111111111</v>
      </c>
      <c r="I72" s="5">
        <v>0.5611111111111111</v>
      </c>
      <c r="J72" s="4"/>
      <c r="K72" s="4">
        <v>0.5944444444444444</v>
      </c>
      <c r="L72" s="5">
        <f>IF(J72&gt;0,MOD(K72-J72,1),"")</f>
        <v>0.5375</v>
      </c>
      <c r="M72" s="5">
        <v>0.08402777777777778</v>
      </c>
      <c r="N72" s="5">
        <v>0.5347222222222222</v>
      </c>
      <c r="O72" s="3">
        <v>1</v>
      </c>
      <c r="P72" s="3">
        <v>1</v>
      </c>
      <c r="Q72" s="3" t="s">
        <v>24</v>
      </c>
      <c r="R72" s="3" t="s">
        <v>24</v>
      </c>
      <c r="S72" s="5">
        <f>_xlfn.IFS(F72="2C1",I72,F72="3C1",I72*0.666666666667,F72="3C2",I72*0.333333333333,F72="3CX","",F72="4C1",I72*0.5,F72="4C2",I72*0.5,F72="4C3","",F72="4CR","",F72="2CR","",F72="2CO","",F72="4CX","",TRUE,"")</f>
        <v>0.28055555555555556</v>
      </c>
      <c r="T72" s="3" t="s">
        <v>70</v>
      </c>
    </row>
    <row r="73" spans="1:20">
      <c r="A73" s="2">
        <v>45165</v>
      </c>
      <c r="B73" s="3" t="s">
        <v>55</v>
      </c>
      <c r="C73" s="3" t="s">
        <v>53</v>
      </c>
      <c r="D73" s="3" t="s">
        <v>20</v>
      </c>
      <c r="E73" s="3" t="s">
        <v>28</v>
      </c>
      <c r="F73" s="3" t="s">
        <v>48</v>
      </c>
      <c r="G73" s="4">
        <v>0.7138888888888889</v>
      </c>
      <c r="H73" s="4">
        <v>0.1979166666666667</v>
      </c>
      <c r="I73" s="5">
        <v>0.4840277777777778</v>
      </c>
      <c r="J73" s="4"/>
      <c r="K73" s="4">
        <v>0.19375</v>
      </c>
      <c r="L73" s="5">
        <f>IF(J73&gt;0,MOD(K73-J73,1),"")</f>
        <v>0.4666666666666667</v>
      </c>
      <c r="M73" s="5">
        <v>0.1819444444444444</v>
      </c>
      <c r="N73" s="5">
        <v>0.4652777777777778</v>
      </c>
      <c r="O73" s="3">
        <v>0</v>
      </c>
      <c r="P73" s="3">
        <v>0</v>
      </c>
      <c r="Q73" s="3" t="s">
        <v>24</v>
      </c>
      <c r="R73" s="3" t="s">
        <v>24</v>
      </c>
      <c r="S73" s="5">
        <f>_xlfn.IFS(F73="2C1",I73,F73="3C1",I73*0.666666666667,F73="3C2",I73*0.333333333333,F73="3CX","",F73="4C1",I73*0.5,F73="4C2",I73*0.5,F73="4C3","",F73="4CR","",F73="2CR","",F73="2CO","",F73="4CX","",TRUE,"")</f>
        <v>0.2420138888888889</v>
      </c>
      <c r="T73" s="3"/>
    </row>
    <row r="74" spans="1:20">
      <c r="A74" s="2">
        <v>45172</v>
      </c>
      <c r="B74" s="3" t="s">
        <v>56</v>
      </c>
      <c r="C74" s="3" t="s">
        <v>20</v>
      </c>
      <c r="D74" s="3" t="s">
        <v>57</v>
      </c>
      <c r="E74" s="3" t="s">
        <v>32</v>
      </c>
      <c r="F74" s="3" t="s">
        <v>71</v>
      </c>
      <c r="G74" s="4">
        <v>0.1986111111111111</v>
      </c>
      <c r="H74" s="4">
        <v>0.6826388888888889</v>
      </c>
      <c r="I74" s="5">
        <v>0.4840277777777778</v>
      </c>
      <c r="J74" s="4"/>
      <c r="K74" s="4">
        <v>0.6694444444444444</v>
      </c>
      <c r="L74" s="5">
        <f>IF(J74&gt;0,MOD(K74-J74,1),"")</f>
        <v>0.45416666666666666</v>
      </c>
      <c r="M74" s="5">
        <v>0.1618055555555556</v>
      </c>
      <c r="N74" s="5">
        <v>0.4479166666666667</v>
      </c>
      <c r="O74" s="3">
        <v>1</v>
      </c>
      <c r="P74" s="3">
        <v>1</v>
      </c>
      <c r="Q74" s="3" t="s">
        <v>24</v>
      </c>
      <c r="R74" s="3" t="s">
        <v>24</v>
      </c>
      <c r="S74" s="5">
        <f>_xlfn.IFS(F74="2C1",I74,F74="3C1",I74*0.666666666667,F74="3C2",I74*0.333333333333,F74="3CX","",F74="4C1",I74*0.5,F74="4C2",I74*0.5,F74="4C3","",F74="4CR","",F74="2CR","",F74="2CO","",F74="4CX","",TRUE,"")</f>
        <v>0.3226851851851852</v>
      </c>
      <c r="T74" s="3" t="s">
        <v>72</v>
      </c>
    </row>
    <row r="75" spans="1:20">
      <c r="A75" s="2">
        <v>45174</v>
      </c>
      <c r="B75" s="3" t="s">
        <v>60</v>
      </c>
      <c r="C75" s="3" t="s">
        <v>57</v>
      </c>
      <c r="D75" s="3" t="s">
        <v>20</v>
      </c>
      <c r="E75" s="3" t="s">
        <v>50</v>
      </c>
      <c r="F75" s="3" t="s">
        <v>48</v>
      </c>
      <c r="G75" s="4">
        <v>0.7541666666666667</v>
      </c>
      <c r="H75" s="4">
        <v>0.26875</v>
      </c>
      <c r="I75" s="5">
        <v>0.5145833333333333</v>
      </c>
      <c r="J75" s="4"/>
      <c r="K75" s="4">
        <v>0.26875</v>
      </c>
      <c r="L75" s="5">
        <f>IF(J75&gt;0,MOD(K75-J75,1),"")</f>
        <v>0.5034722222222222</v>
      </c>
      <c r="M75" s="5">
        <v>0.1416666666666667</v>
      </c>
      <c r="N75" s="5">
        <v>0.4930555555555556</v>
      </c>
      <c r="O75" s="3">
        <v>0</v>
      </c>
      <c r="P75" s="3">
        <v>0</v>
      </c>
      <c r="Q75" s="3" t="s">
        <v>24</v>
      </c>
      <c r="R75" s="3" t="s">
        <v>24</v>
      </c>
      <c r="S75" s="5">
        <f>_xlfn.IFS(F75="2C1",I75,F75="3C1",I75*0.666666666667,F75="3C2",I75*0.333333333333,F75="3CX","",F75="4C1",I75*0.5,F75="4C2",I75*0.5,F75="4C3","",F75="4CR","",F75="2CR","",F75="2CO","",F75="4CX","",TRUE,"")</f>
        <v>0.25729166666666664</v>
      </c>
      <c r="T75" s="3"/>
    </row>
    <row r="76" spans="1:20">
      <c r="A76" s="2">
        <v>45177</v>
      </c>
      <c r="B76" s="3" t="s">
        <v>52</v>
      </c>
      <c r="C76" s="3" t="s">
        <v>20</v>
      </c>
      <c r="D76" s="3" t="s">
        <v>53</v>
      </c>
      <c r="E76" s="3" t="s">
        <v>22</v>
      </c>
      <c r="F76" s="3" t="s">
        <v>48</v>
      </c>
      <c r="G76" s="4">
        <v>0.04097222222222222</v>
      </c>
      <c r="H76" s="4">
        <v>0.6020833333333333</v>
      </c>
      <c r="I76" s="5">
        <v>0.5611111111111111</v>
      </c>
      <c r="J76" s="4"/>
      <c r="K76" s="4">
        <v>0.59375</v>
      </c>
      <c r="L76" s="5">
        <f>IF(J76&gt;0,MOD(K76-J76,1),"")</f>
        <v>0.5375</v>
      </c>
      <c r="M76" s="5">
        <v>0.08125</v>
      </c>
      <c r="N76" s="5">
        <v>0.5361111111111111</v>
      </c>
      <c r="O76" s="3">
        <v>0</v>
      </c>
      <c r="P76" s="3">
        <v>0</v>
      </c>
      <c r="Q76" s="3" t="s">
        <v>24</v>
      </c>
      <c r="R76" s="3" t="s">
        <v>24</v>
      </c>
      <c r="S76" s="5">
        <f>_xlfn.IFS(F76="2C1",I76,F76="3C1",I76*0.666666666667,F76="3C2",I76*0.333333333333,F76="3CX","",F76="4C1",I76*0.5,F76="4C2",I76*0.5,F76="4C3","",F76="4CR","",F76="2CR","",F76="2CO","",F76="4CX","",TRUE,"")</f>
        <v>0.28055555555555556</v>
      </c>
      <c r="T76" s="3" t="s">
        <v>73</v>
      </c>
    </row>
    <row r="77" spans="1:20">
      <c r="A77" s="2">
        <v>45179</v>
      </c>
      <c r="B77" s="3" t="s">
        <v>55</v>
      </c>
      <c r="C77" s="3" t="s">
        <v>53</v>
      </c>
      <c r="D77" s="3" t="s">
        <v>20</v>
      </c>
      <c r="E77" s="3" t="s">
        <v>22</v>
      </c>
      <c r="F77" s="3" t="s">
        <v>51</v>
      </c>
      <c r="G77" s="4">
        <v>0.6798611111111111</v>
      </c>
      <c r="H77" s="4">
        <v>0.1548611111111111</v>
      </c>
      <c r="I77" s="5">
        <v>0.475</v>
      </c>
      <c r="J77" s="4"/>
      <c r="K77" s="4">
        <v>0.14375</v>
      </c>
      <c r="L77" s="5">
        <f>IF(J77&gt;0,MOD(K77-J77,1),"")</f>
        <v>0.44930555555555557</v>
      </c>
      <c r="M77" s="5">
        <v>0.2159722222222222</v>
      </c>
      <c r="N77" s="5">
        <v>0.4479166666666667</v>
      </c>
      <c r="O77" s="3">
        <v>1</v>
      </c>
      <c r="P77" s="3">
        <v>1</v>
      </c>
      <c r="Q77" s="3" t="s">
        <v>24</v>
      </c>
      <c r="R77" s="3" t="s">
        <v>24</v>
      </c>
      <c r="S77" s="5">
        <f>_xlfn.IFS(F77="2C1",I77,F77="3C1",I77*0.666666666667,F77="3C2",I77*0.333333333333,F77="3CX","",F77="4C1",I77*0.5,F77="4C2",I77*0.5,F77="4C3","",F77="4CR","",F77="2CR","",F77="2CO","",F77="4CX","",TRUE,"")</f>
        <v>0.2375</v>
      </c>
      <c r="T77" s="3"/>
    </row>
    <row r="78" spans="1:20">
      <c r="A78" s="6" t="s">
        <v>36</v>
      </c>
      <c r="B78" s="6"/>
      <c r="C78" s="6"/>
      <c r="D78" s="6"/>
      <c r="E78" s="6"/>
      <c r="F78" s="6"/>
      <c r="G78" s="6"/>
      <c r="H78" s="6"/>
      <c r="I78" s="7">
        <f>SUM(I68:I77)</f>
        <v>4.576388888888889</v>
      </c>
      <c r="J78" s="8"/>
      <c r="K78" s="8"/>
      <c r="L78" s="7">
        <f>SUM(L68:L77)</f>
        <v>4.371527777777778</v>
      </c>
      <c r="M78" s="7">
        <f>SUM(M68:M77)</f>
        <v>1.2763888888888888</v>
      </c>
      <c r="N78" s="7">
        <f>SUM(N68:N77)</f>
        <v>4.343055555555556</v>
      </c>
      <c r="O78" s="8">
        <f>SUM(O68:O77)</f>
        <v>4</v>
      </c>
      <c r="P78" s="8">
        <f>SUM(P68:P77)</f>
        <v>4</v>
      </c>
      <c r="Q78" s="8"/>
      <c r="R78" s="8"/>
      <c r="S78" s="7">
        <f>SUM(S68:S77)</f>
        <v>2.026388888888889</v>
      </c>
      <c r="T78" s="8"/>
    </row>
    <row r="79" spans="1:20">
      <c r="A79" s="6" t="s">
        <v>37</v>
      </c>
      <c r="B79" s="6"/>
      <c r="C79" s="6"/>
      <c r="D79" s="6"/>
      <c r="E79" s="6"/>
      <c r="F79" s="6"/>
      <c r="G79" s="6"/>
      <c r="H79" s="6"/>
      <c r="I79" s="7">
        <v>557.6680555555556</v>
      </c>
      <c r="J79" s="8"/>
      <c r="K79" s="8"/>
      <c r="L79" s="7"/>
      <c r="M79" s="7">
        <v>203.3243055555556</v>
      </c>
      <c r="N79" s="7">
        <v>410.96875</v>
      </c>
      <c r="O79" s="8">
        <v>1742</v>
      </c>
      <c r="P79" s="8">
        <v>1748</v>
      </c>
      <c r="Q79" s="8"/>
      <c r="R79" s="8"/>
      <c r="S79" s="7">
        <v>258.7583333333333</v>
      </c>
      <c r="T79" s="8"/>
    </row>
    <row r="80" spans="1:20">
      <c r="A80" s="6" t="s">
        <v>38</v>
      </c>
      <c r="B80" s="6"/>
      <c r="C80" s="6"/>
      <c r="D80" s="6"/>
      <c r="E80" s="6"/>
      <c r="F80" s="6"/>
      <c r="G80" s="6"/>
      <c r="H80" s="6"/>
      <c r="I80" s="7">
        <v>562.2444444444444</v>
      </c>
      <c r="J80" s="8"/>
      <c r="K80" s="8"/>
      <c r="L80" s="7"/>
      <c r="M80" s="7">
        <v>204.6006944444445</v>
      </c>
      <c r="N80" s="7">
        <v>415.3118055555556</v>
      </c>
      <c r="O80" s="8">
        <v>1746</v>
      </c>
      <c r="P80" s="8">
        <v>1752</v>
      </c>
      <c r="Q80" s="8"/>
      <c r="R80" s="8"/>
      <c r="S80" s="7">
        <v>260.7847222222222</v>
      </c>
      <c r="T80" s="8"/>
    </row>
    <row r="89" spans="1:20">
      <c r="A89" s="1" t="s">
        <v>0</v>
      </c>
      <c r="B89" s="1" t="s">
        <v>1</v>
      </c>
      <c r="C89" s="1" t="s">
        <v>2</v>
      </c>
      <c r="D89" s="1" t="s">
        <v>3</v>
      </c>
      <c r="E89" s="1" t="s">
        <v>4</v>
      </c>
      <c r="F89" s="1" t="s">
        <v>5</v>
      </c>
      <c r="G89" s="1" t="s">
        <v>6</v>
      </c>
      <c r="H89" s="1" t="s">
        <v>7</v>
      </c>
      <c r="I89" s="1" t="s">
        <v>8</v>
      </c>
      <c r="J89" s="1" t="s">
        <v>3</v>
      </c>
      <c r="K89" s="1" t="s">
        <v>9</v>
      </c>
      <c r="L89" s="1" t="s">
        <v>10</v>
      </c>
      <c r="M89" s="1" t="s">
        <v>11</v>
      </c>
      <c r="N89" s="1" t="s">
        <v>12</v>
      </c>
      <c r="O89" s="1" t="s">
        <v>13</v>
      </c>
      <c r="P89" s="1" t="s">
        <v>14</v>
      </c>
      <c r="Q89" s="1" t="s">
        <v>15</v>
      </c>
      <c r="R89" s="1" t="s">
        <v>16</v>
      </c>
      <c r="S89" s="1" t="s">
        <v>17</v>
      </c>
      <c r="T89" s="1" t="s">
        <v>18</v>
      </c>
    </row>
    <row r="90" spans="1:20">
      <c r="A90" s="2">
        <v>45182</v>
      </c>
      <c r="B90" s="3" t="s">
        <v>56</v>
      </c>
      <c r="C90" s="3" t="s">
        <v>20</v>
      </c>
      <c r="D90" s="3" t="s">
        <v>57</v>
      </c>
      <c r="E90" s="3" t="s">
        <v>50</v>
      </c>
      <c r="F90" s="3" t="s">
        <v>58</v>
      </c>
      <c r="G90" s="4">
        <v>0.20625</v>
      </c>
      <c r="H90" s="4">
        <v>0.6847222222222222</v>
      </c>
      <c r="I90" s="5">
        <v>0.4784722222222222</v>
      </c>
      <c r="J90" s="4"/>
      <c r="K90" s="4">
        <v>0.6763888888888889</v>
      </c>
      <c r="L90" s="5">
        <f>IF(J90&gt;0,MOD(K90-J90,1),"")</f>
        <v>0.45069444444444445</v>
      </c>
      <c r="M90" s="5">
        <v>0.1638888888888889</v>
      </c>
      <c r="N90" s="5">
        <v>0.4493055555555556</v>
      </c>
      <c r="O90" s="3">
        <v>0</v>
      </c>
      <c r="P90" s="3">
        <v>0</v>
      </c>
      <c r="Q90" s="3" t="s">
        <v>24</v>
      </c>
      <c r="R90" s="3" t="s">
        <v>24</v>
      </c>
      <c r="S90" s="5">
        <f>_xlfn.IFS(F90="2C1",I90,F90="3C1",I90*0.666666666667,F90="3C2",I90*0.333333333333,F90="3CX","",F90="4C1",I90*0.5,F90="4C2",I90*0.5,F90="4C3","",F90="4CR","",F90="2CR","",F90="2CO","",F90="4CX","",TRUE,"")</f>
        <v>0.15949074074074074</v>
      </c>
      <c r="T90" s="3" t="s">
        <v>74</v>
      </c>
    </row>
    <row r="91" spans="1:20">
      <c r="A91" s="2">
        <v>45185</v>
      </c>
      <c r="B91" s="3" t="s">
        <v>60</v>
      </c>
      <c r="C91" s="3" t="s">
        <v>57</v>
      </c>
      <c r="D91" s="3" t="s">
        <v>20</v>
      </c>
      <c r="E91" s="3" t="s">
        <v>32</v>
      </c>
      <c r="F91" s="3" t="s">
        <v>51</v>
      </c>
      <c r="G91" s="4">
        <v>0.7375</v>
      </c>
      <c r="H91" s="4">
        <v>0.2479166666666667</v>
      </c>
      <c r="I91" s="5">
        <v>0.5104166666666666</v>
      </c>
      <c r="J91" s="4"/>
      <c r="K91" s="4">
        <v>0.2388888888888889</v>
      </c>
      <c r="L91" s="5">
        <f>IF(J91&gt;0,MOD(K91-J91,1),"")</f>
        <v>0.48541666666666666</v>
      </c>
      <c r="M91" s="5">
        <v>0.1583333333333333</v>
      </c>
      <c r="N91" s="5">
        <v>0.4833333333333333</v>
      </c>
      <c r="O91" s="3">
        <v>1</v>
      </c>
      <c r="P91" s="3">
        <v>1</v>
      </c>
      <c r="Q91" s="3" t="s">
        <v>24</v>
      </c>
      <c r="R91" s="3" t="s">
        <v>24</v>
      </c>
      <c r="S91" s="5">
        <f>_xlfn.IFS(F91="2C1",I91,F91="3C1",I91*0.666666666667,F91="3C2",I91*0.333333333333,F91="3CX","",F91="4C1",I91*0.5,F91="4C2",I91*0.5,F91="4C3","",F91="4CR","",F91="2CR","",F91="2CO","",F91="4CX","",TRUE,"")</f>
        <v>0.2552083333333333</v>
      </c>
      <c r="T91" s="3"/>
    </row>
    <row r="92" spans="1:20">
      <c r="A92" s="2">
        <v>45189</v>
      </c>
      <c r="B92" s="3" t="s">
        <v>56</v>
      </c>
      <c r="C92" s="3" t="s">
        <v>20</v>
      </c>
      <c r="D92" s="3" t="s">
        <v>57</v>
      </c>
      <c r="E92" s="3" t="s">
        <v>28</v>
      </c>
      <c r="F92" s="3" t="s">
        <v>61</v>
      </c>
      <c r="G92" s="4"/>
      <c r="H92" s="4"/>
      <c r="I92" s="5"/>
      <c r="J92" s="4"/>
      <c r="K92" s="4"/>
      <c r="L92" s="5">
        <f>IF(J92&gt;0,MOD(K92-J92,1),"")</f>
        <v/>
      </c>
      <c r="M92" s="5">
        <v>0</v>
      </c>
      <c r="N92" s="5">
        <v>0</v>
      </c>
      <c r="O92" s="3">
        <v>0</v>
      </c>
      <c r="P92" s="3">
        <v>0</v>
      </c>
      <c r="Q92" s="3" t="s">
        <v>24</v>
      </c>
      <c r="R92" s="3" t="s">
        <v>24</v>
      </c>
      <c r="S92" s="5">
        <f>_xlfn.IFS(F92="2C1",I92,F92="3C1",I92*0.666666666667,F92="3C2",I92*0.333333333333,F92="3CX","",F92="4C1",I92*0.5,F92="4C2",I92*0.5,F92="4C3","",F92="4CR","",F92="2CR","",F92="2CO","",F92="4CX","",TRUE,"")</f>
        <v/>
      </c>
      <c r="T92" s="3" t="s">
        <v>75</v>
      </c>
    </row>
    <row r="93" spans="1:20">
      <c r="A93" s="2">
        <v>45192</v>
      </c>
      <c r="B93" s="3" t="s">
        <v>60</v>
      </c>
      <c r="C93" s="3" t="s">
        <v>57</v>
      </c>
      <c r="D93" s="3" t="s">
        <v>20</v>
      </c>
      <c r="E93" s="3" t="s">
        <v>32</v>
      </c>
      <c r="F93" s="3" t="s">
        <v>63</v>
      </c>
      <c r="G93" s="4">
        <v>0.7354166666666667</v>
      </c>
      <c r="H93" s="4">
        <v>0.2694444444444444</v>
      </c>
      <c r="I93" s="5">
        <v>0.5340277777777778</v>
      </c>
      <c r="J93" s="4"/>
      <c r="K93" s="4">
        <v>0.2618055555555556</v>
      </c>
      <c r="L93" s="5">
        <f>IF(J93&gt;0,MOD(K93-J93,1),"")</f>
        <v>0.5145833333333333</v>
      </c>
      <c r="M93" s="5">
        <v>0.1604166666666667</v>
      </c>
      <c r="N93" s="5">
        <v>0.5111111111111111</v>
      </c>
      <c r="O93" s="3">
        <v>0</v>
      </c>
      <c r="P93" s="3">
        <v>0</v>
      </c>
      <c r="Q93" s="3" t="s">
        <v>24</v>
      </c>
      <c r="R93" s="3" t="s">
        <v>24</v>
      </c>
      <c r="S93" s="5">
        <f>_xlfn.IFS(F93="2C1",I93,F93="3C1",I93*0.666666666667,F93="3C2",I93*0.333333333333,F93="3CX","",F93="4C1",I93*0.5,F93="4C2",I93*0.5,F93="4C3","",F93="4CR","",F93="2CR","",F93="2CO","",F93="4CX","",TRUE,"")</f>
        <v/>
      </c>
      <c r="T93" s="3"/>
    </row>
    <row r="94" spans="1:20">
      <c r="A94" s="2">
        <v>45196</v>
      </c>
      <c r="B94" s="3" t="s">
        <v>52</v>
      </c>
      <c r="C94" s="3" t="s">
        <v>20</v>
      </c>
      <c r="D94" s="3" t="s">
        <v>53</v>
      </c>
      <c r="E94" s="3" t="s">
        <v>28</v>
      </c>
      <c r="F94" s="3" t="s">
        <v>51</v>
      </c>
      <c r="G94" s="4">
        <v>0.04375</v>
      </c>
      <c r="H94" s="4">
        <v>0.5923611111111111</v>
      </c>
      <c r="I94" s="5">
        <v>0.5486111111111112</v>
      </c>
      <c r="J94" s="4"/>
      <c r="K94" s="4">
        <v>0.5847222222222223</v>
      </c>
      <c r="L94" s="5">
        <f>IF(J94&gt;0,MOD(K94-J94,1),"")</f>
        <v>0.5284722222222222</v>
      </c>
      <c r="M94" s="5">
        <v>0.07152777777777777</v>
      </c>
      <c r="N94" s="5">
        <v>0.5277777777777778</v>
      </c>
      <c r="O94" s="3">
        <v>1</v>
      </c>
      <c r="P94" s="3">
        <v>1</v>
      </c>
      <c r="Q94" s="3" t="s">
        <v>24</v>
      </c>
      <c r="R94" s="3" t="s">
        <v>24</v>
      </c>
      <c r="S94" s="5">
        <f>_xlfn.IFS(F94="2C1",I94,F94="3C1",I94*0.666666666667,F94="3C2",I94*0.333333333333,F94="3CX","",F94="4C1",I94*0.5,F94="4C2",I94*0.5,F94="4C3","",F94="4CR","",F94="2CR","",F94="2CO","",F94="4CX","",TRUE,"")</f>
        <v>0.2743055555555556</v>
      </c>
      <c r="T94" s="3" t="s">
        <v>76</v>
      </c>
    </row>
    <row r="95" spans="1:20">
      <c r="A95" s="2">
        <v>45198</v>
      </c>
      <c r="B95" s="3" t="s">
        <v>55</v>
      </c>
      <c r="C95" s="3" t="s">
        <v>53</v>
      </c>
      <c r="D95" s="3" t="s">
        <v>20</v>
      </c>
      <c r="E95" s="3" t="s">
        <v>28</v>
      </c>
      <c r="F95" s="3" t="s">
        <v>48</v>
      </c>
      <c r="G95" s="4">
        <v>0.7118055555555556</v>
      </c>
      <c r="H95" s="4">
        <v>0.2020833333333333</v>
      </c>
      <c r="I95" s="5">
        <v>0.4902777777777778</v>
      </c>
      <c r="J95" s="4"/>
      <c r="K95" s="4">
        <v>0.1916666666666667</v>
      </c>
      <c r="L95" s="5">
        <f>IF(J95&gt;0,MOD(K95-J95,1),"")</f>
        <v>0.4666666666666667</v>
      </c>
      <c r="M95" s="5">
        <v>0.1840277777777778</v>
      </c>
      <c r="N95" s="5">
        <v>0.4652777777777778</v>
      </c>
      <c r="O95" s="3">
        <v>0</v>
      </c>
      <c r="P95" s="3">
        <v>0</v>
      </c>
      <c r="Q95" s="3" t="s">
        <v>24</v>
      </c>
      <c r="R95" s="3" t="s">
        <v>24</v>
      </c>
      <c r="S95" s="5">
        <f>_xlfn.IFS(F95="2C1",I95,F95="3C1",I95*0.666666666667,F95="3C2",I95*0.333333333333,F95="3CX","",F95="4C1",I95*0.5,F95="4C2",I95*0.5,F95="4C3","",F95="4CR","",F95="2CR","",F95="2CO","",F95="4CX","",TRUE,"")</f>
        <v>0.24513888888888888</v>
      </c>
      <c r="T95" s="3"/>
    </row>
    <row r="96" spans="1:20">
      <c r="A96" s="2">
        <v>45201</v>
      </c>
      <c r="B96" s="3" t="s">
        <v>39</v>
      </c>
      <c r="C96" s="3" t="s">
        <v>20</v>
      </c>
      <c r="D96" s="3" t="s">
        <v>40</v>
      </c>
      <c r="E96" s="3" t="s">
        <v>44</v>
      </c>
      <c r="F96" s="3" t="s">
        <v>63</v>
      </c>
      <c r="G96" s="4">
        <v>0.5076388888888889</v>
      </c>
      <c r="H96" s="4">
        <v>0.04861111111111111</v>
      </c>
      <c r="I96" s="5">
        <v>0.5409722222222222</v>
      </c>
      <c r="J96" s="4"/>
      <c r="K96" s="4">
        <v>0.04236111111111111</v>
      </c>
      <c r="L96" s="5">
        <f>IF(J96&gt;0,MOD(K96-J96,1),"")</f>
        <v>0.5215277777777778</v>
      </c>
      <c r="M96" s="5">
        <v>0.3541666666666667</v>
      </c>
      <c r="N96" s="5">
        <v>0.5194444444444445</v>
      </c>
      <c r="O96" s="3">
        <v>0</v>
      </c>
      <c r="P96" s="3">
        <v>0</v>
      </c>
      <c r="Q96" s="3" t="s">
        <v>24</v>
      </c>
      <c r="R96" s="3" t="s">
        <v>24</v>
      </c>
      <c r="S96" s="5">
        <f>_xlfn.IFS(F96="2C1",I96,F96="3C1",I96*0.666666666667,F96="3C2",I96*0.333333333333,F96="3CX","",F96="4C1",I96*0.5,F96="4C2",I96*0.5,F96="4C3","",F96="4CR","",F96="2CR","",F96="2CO","",F96="4CX","",TRUE,"")</f>
        <v/>
      </c>
      <c r="T96" s="3" t="s">
        <v>77</v>
      </c>
    </row>
    <row r="97" spans="1:20">
      <c r="A97" s="2">
        <v>45204</v>
      </c>
      <c r="B97" s="3" t="s">
        <v>43</v>
      </c>
      <c r="C97" s="3" t="s">
        <v>40</v>
      </c>
      <c r="D97" s="3" t="s">
        <v>20</v>
      </c>
      <c r="E97" s="3" t="s">
        <v>50</v>
      </c>
      <c r="F97" s="3" t="s">
        <v>63</v>
      </c>
      <c r="G97" s="4">
        <v>0.1854166666666667</v>
      </c>
      <c r="H97" s="4">
        <v>0.8215277777777777</v>
      </c>
      <c r="I97" s="5">
        <v>0.6361111111111111</v>
      </c>
      <c r="J97" s="4"/>
      <c r="K97" s="4">
        <v>0.8145833333333333</v>
      </c>
      <c r="L97" s="5">
        <f>IF(J97&gt;0,MOD(K97-J97,1),"")</f>
        <v>0.61875</v>
      </c>
      <c r="M97" s="5">
        <v>0.3006944444444444</v>
      </c>
      <c r="N97" s="5">
        <v>0.6180555555555556</v>
      </c>
      <c r="O97" s="3">
        <v>0</v>
      </c>
      <c r="P97" s="3">
        <v>0</v>
      </c>
      <c r="Q97" s="3" t="s">
        <v>24</v>
      </c>
      <c r="R97" s="3" t="s">
        <v>24</v>
      </c>
      <c r="S97" s="5">
        <f>_xlfn.IFS(F97="2C1",I97,F97="3C1",I97*0.666666666667,F97="3C2",I97*0.333333333333,F97="3CX","",F97="4C1",I97*0.5,F97="4C2",I97*0.5,F97="4C3","",F97="4CR","",F97="2CR","",F97="2CO","",F97="4CX","",TRUE,"")</f>
        <v/>
      </c>
      <c r="T97" s="3"/>
    </row>
    <row r="98" spans="1:20">
      <c r="A98" s="2">
        <v>45208</v>
      </c>
      <c r="B98" s="3" t="s">
        <v>78</v>
      </c>
      <c r="C98" s="3" t="s">
        <v>20</v>
      </c>
      <c r="D98" s="3" t="s">
        <v>79</v>
      </c>
      <c r="E98" s="3" t="s">
        <v>28</v>
      </c>
      <c r="F98" s="3" t="s">
        <v>51</v>
      </c>
      <c r="G98" s="4">
        <v>0.2590277777777778</v>
      </c>
      <c r="H98" s="4">
        <v>0.8361111111111111</v>
      </c>
      <c r="I98" s="5">
        <v>0.5770833333333333</v>
      </c>
      <c r="J98" s="4"/>
      <c r="K98" s="4">
        <v>0.8305555555555556</v>
      </c>
      <c r="L98" s="5">
        <f>IF(J98&gt;0,MOD(K98-J98,1),"")</f>
        <v>0.5604166666666667</v>
      </c>
      <c r="M98" s="5">
        <v>0.3152777777777778</v>
      </c>
      <c r="N98" s="5">
        <v>0.5555555555555556</v>
      </c>
      <c r="O98" s="3">
        <v>1</v>
      </c>
      <c r="P98" s="3">
        <v>1</v>
      </c>
      <c r="Q98" s="3" t="s">
        <v>24</v>
      </c>
      <c r="R98" s="3" t="s">
        <v>24</v>
      </c>
      <c r="S98" s="5">
        <f>_xlfn.IFS(F98="2C1",I98,F98="3C1",I98*0.666666666667,F98="3C2",I98*0.333333333333,F98="3CX","",F98="4C1",I98*0.5,F98="4C2",I98*0.5,F98="4C3","",F98="4CR","",F98="2CR","",F98="2CO","",F98="4CX","",TRUE,"")</f>
        <v>0.28854166666666664</v>
      </c>
      <c r="T98" s="3" t="s">
        <v>80</v>
      </c>
    </row>
    <row r="99" spans="1:20">
      <c r="A99" s="2">
        <v>45211</v>
      </c>
      <c r="B99" s="3" t="s">
        <v>81</v>
      </c>
      <c r="C99" s="3" t="s">
        <v>79</v>
      </c>
      <c r="D99" s="3" t="s">
        <v>20</v>
      </c>
      <c r="E99" s="3" t="s">
        <v>22</v>
      </c>
      <c r="F99" s="3" t="s">
        <v>48</v>
      </c>
      <c r="G99" s="4">
        <v>0.7958333333333333</v>
      </c>
      <c r="H99" s="4">
        <v>0.3423611111111111</v>
      </c>
      <c r="I99" s="5">
        <v>0.5465277777777777</v>
      </c>
      <c r="J99" s="4"/>
      <c r="K99" s="4">
        <v>0.3333333333333333</v>
      </c>
      <c r="L99" s="5">
        <f>IF(J99&gt;0,MOD(K99-J99,1),"")</f>
        <v>0.5131944444444444</v>
      </c>
      <c r="M99" s="5">
        <v>0.1</v>
      </c>
      <c r="N99" s="5">
        <v>0.5104166666666666</v>
      </c>
      <c r="O99" s="3">
        <v>0</v>
      </c>
      <c r="P99" s="3">
        <v>0</v>
      </c>
      <c r="Q99" s="3" t="s">
        <v>24</v>
      </c>
      <c r="R99" s="3" t="s">
        <v>24</v>
      </c>
      <c r="S99" s="5">
        <f>_xlfn.IFS(F99="2C1",I99,F99="3C1",I99*0.666666666667,F99="3C2",I99*0.333333333333,F99="3CX","",F99="4C1",I99*0.5,F99="4C2",I99*0.5,F99="4C3","",F99="4CR","",F99="2CR","",F99="2CO","",F99="4CX","",TRUE,"")</f>
        <v>0.27326388888888886</v>
      </c>
      <c r="T99" s="3"/>
    </row>
    <row r="100" spans="1:20">
      <c r="A100" s="6" t="s">
        <v>36</v>
      </c>
      <c r="B100" s="6"/>
      <c r="C100" s="6"/>
      <c r="D100" s="6"/>
      <c r="E100" s="6"/>
      <c r="F100" s="6"/>
      <c r="G100" s="6"/>
      <c r="H100" s="6"/>
      <c r="I100" s="7">
        <f>SUM(I90:I99)</f>
        <v>4.8625</v>
      </c>
      <c r="J100" s="8"/>
      <c r="K100" s="8"/>
      <c r="L100" s="7">
        <f>SUM(L90:L99)</f>
        <v>4.659722222222222</v>
      </c>
      <c r="M100" s="7">
        <f>SUM(M90:M99)</f>
        <v>1.8083333333333333</v>
      </c>
      <c r="N100" s="7">
        <f>SUM(N90:N99)</f>
        <v>4.6402777777777775</v>
      </c>
      <c r="O100" s="8">
        <f>SUM(O90:O99)</f>
        <v>3</v>
      </c>
      <c r="P100" s="8">
        <f>SUM(P90:P99)</f>
        <v>3</v>
      </c>
      <c r="Q100" s="8"/>
      <c r="R100" s="8"/>
      <c r="S100" s="7">
        <f>SUM(S90:S99)</f>
        <v>1.4958333333333333</v>
      </c>
      <c r="T100" s="8"/>
    </row>
    <row r="101" spans="1:20">
      <c r="A101" s="6" t="s">
        <v>37</v>
      </c>
      <c r="B101" s="6"/>
      <c r="C101" s="6"/>
      <c r="D101" s="6"/>
      <c r="E101" s="6"/>
      <c r="F101" s="6"/>
      <c r="G101" s="6"/>
      <c r="H101" s="6"/>
      <c r="I101" s="7">
        <v>562.2444444444444</v>
      </c>
      <c r="J101" s="8"/>
      <c r="K101" s="8"/>
      <c r="L101" s="7"/>
      <c r="M101" s="7">
        <v>204.6006944444445</v>
      </c>
      <c r="N101" s="7">
        <v>415.3118055555556</v>
      </c>
      <c r="O101" s="8">
        <v>1746</v>
      </c>
      <c r="P101" s="8">
        <v>1752</v>
      </c>
      <c r="Q101" s="8"/>
      <c r="R101" s="8"/>
      <c r="S101" s="7">
        <v>260.7847222222222</v>
      </c>
      <c r="T101" s="8"/>
    </row>
    <row r="102" spans="1:20">
      <c r="A102" s="6" t="s">
        <v>38</v>
      </c>
      <c r="B102" s="6"/>
      <c r="C102" s="6"/>
      <c r="D102" s="6"/>
      <c r="E102" s="6"/>
      <c r="F102" s="6"/>
      <c r="G102" s="6"/>
      <c r="H102" s="6"/>
      <c r="I102" s="7">
        <v>567.1069444444445</v>
      </c>
      <c r="J102" s="8"/>
      <c r="K102" s="8"/>
      <c r="L102" s="7"/>
      <c r="M102" s="7">
        <v>206.4090277777778</v>
      </c>
      <c r="N102" s="7">
        <v>419.9520833333333</v>
      </c>
      <c r="O102" s="8">
        <v>1749</v>
      </c>
      <c r="P102" s="8">
        <v>1755</v>
      </c>
      <c r="Q102" s="8"/>
      <c r="R102" s="8"/>
      <c r="S102" s="7">
        <v>262.2805555555556</v>
      </c>
      <c r="T102" s="8"/>
    </row>
    <row r="111" spans="1:20">
      <c r="A111" s="1" t="s">
        <v>0</v>
      </c>
      <c r="B111" s="1" t="s">
        <v>1</v>
      </c>
      <c r="C111" s="1" t="s">
        <v>2</v>
      </c>
      <c r="D111" s="1" t="s">
        <v>3</v>
      </c>
      <c r="E111" s="1" t="s">
        <v>4</v>
      </c>
      <c r="F111" s="1" t="s">
        <v>5</v>
      </c>
      <c r="G111" s="1" t="s">
        <v>6</v>
      </c>
      <c r="H111" s="1" t="s">
        <v>7</v>
      </c>
      <c r="I111" s="1" t="s">
        <v>8</v>
      </c>
      <c r="J111" s="1" t="s">
        <v>3</v>
      </c>
      <c r="K111" s="1" t="s">
        <v>9</v>
      </c>
      <c r="L111" s="1" t="s">
        <v>10</v>
      </c>
      <c r="M111" s="1" t="s">
        <v>11</v>
      </c>
      <c r="N111" s="1" t="s">
        <v>12</v>
      </c>
      <c r="O111" s="1" t="s">
        <v>13</v>
      </c>
      <c r="P111" s="1" t="s">
        <v>14</v>
      </c>
      <c r="Q111" s="1" t="s">
        <v>15</v>
      </c>
      <c r="R111" s="1" t="s">
        <v>16</v>
      </c>
      <c r="S111" s="1" t="s">
        <v>17</v>
      </c>
      <c r="T111" s="1" t="s">
        <v>18</v>
      </c>
    </row>
    <row r="112" spans="1:20">
      <c r="A112" s="2">
        <v>45214</v>
      </c>
      <c r="B112" s="3" t="s">
        <v>52</v>
      </c>
      <c r="C112" s="3" t="s">
        <v>20</v>
      </c>
      <c r="D112" s="3" t="s">
        <v>53</v>
      </c>
      <c r="E112" s="3" t="s">
        <v>28</v>
      </c>
      <c r="F112" s="3" t="s">
        <v>51</v>
      </c>
      <c r="G112" s="4">
        <v>0.01805555555555555</v>
      </c>
      <c r="H112" s="4">
        <v>0.5625</v>
      </c>
      <c r="I112" s="5">
        <v>0.5444444444444444</v>
      </c>
      <c r="J112" s="4"/>
      <c r="K112" s="4">
        <v>0.5541666666666667</v>
      </c>
      <c r="L112" s="5">
        <f>IF(J112&gt;0,MOD(K112-J112,1),"")</f>
        <v>0.5215277777777778</v>
      </c>
      <c r="M112" s="5">
        <v>0.04166666666666666</v>
      </c>
      <c r="N112" s="5">
        <v>0.5208333333333334</v>
      </c>
      <c r="O112" s="3">
        <v>1</v>
      </c>
      <c r="P112" s="3">
        <v>1</v>
      </c>
      <c r="Q112" s="3" t="s">
        <v>24</v>
      </c>
      <c r="R112" s="3" t="s">
        <v>24</v>
      </c>
      <c r="S112" s="5">
        <f>_xlfn.IFS(F112="2C1",I112,F112="3C1",I112*0.666666666667,F112="3C2",I112*0.333333333333,F112="3CX","",F112="4C1",I112*0.5,F112="4C2",I112*0.5,F112="4C3","",F112="4CR","",F112="2CR","",F112="2CO","",F112="4CX","",TRUE,"")</f>
        <v>0.2722222222222222</v>
      </c>
      <c r="T112" s="3" t="s">
        <v>82</v>
      </c>
    </row>
    <row r="113" spans="1:20">
      <c r="A113" s="2">
        <v>45216</v>
      </c>
      <c r="B113" s="3" t="s">
        <v>55</v>
      </c>
      <c r="C113" s="3" t="s">
        <v>53</v>
      </c>
      <c r="D113" s="3" t="s">
        <v>20</v>
      </c>
      <c r="E113" s="3" t="s">
        <v>22</v>
      </c>
      <c r="F113" s="3" t="s">
        <v>48</v>
      </c>
      <c r="G113" s="4">
        <v>0.7104166666666667</v>
      </c>
      <c r="H113" s="4">
        <v>0.1965277777777778</v>
      </c>
      <c r="I113" s="5">
        <v>0.4861111111111111</v>
      </c>
      <c r="J113" s="4"/>
      <c r="K113" s="4">
        <v>0.1909722222222222</v>
      </c>
      <c r="L113" s="5">
        <f>IF(J113&gt;0,MOD(K113-J113,1),"")</f>
        <v>0.46041666666666664</v>
      </c>
      <c r="M113" s="5">
        <v>0.1854166666666667</v>
      </c>
      <c r="N113" s="5">
        <v>0.4597222222222222</v>
      </c>
      <c r="O113" s="3">
        <v>0</v>
      </c>
      <c r="P113" s="3">
        <v>0</v>
      </c>
      <c r="Q113" s="3" t="s">
        <v>27</v>
      </c>
      <c r="R113" s="3" t="s">
        <v>24</v>
      </c>
      <c r="S113" s="5">
        <f>_xlfn.IFS(F113="2C1",I113,F113="3C1",I113*0.666666666667,F113="3C2",I113*0.333333333333,F113="3CX","",F113="4C1",I113*0.5,F113="4C2",I113*0.5,F113="4C3","",F113="4CR","",F113="2CR","",F113="2CO","",F113="4CX","",TRUE,"")</f>
        <v>0.24305555555555555</v>
      </c>
      <c r="T113" s="3"/>
    </row>
    <row r="114" spans="1:20">
      <c r="A114" s="2">
        <v>45221</v>
      </c>
      <c r="B114" s="3" t="s">
        <v>56</v>
      </c>
      <c r="C114" s="3" t="s">
        <v>20</v>
      </c>
      <c r="D114" s="3" t="s">
        <v>57</v>
      </c>
      <c r="E114" s="3" t="s">
        <v>44</v>
      </c>
      <c r="F114" s="3" t="s">
        <v>61</v>
      </c>
      <c r="G114" s="4"/>
      <c r="H114" s="4"/>
      <c r="I114" s="5"/>
      <c r="J114" s="4"/>
      <c r="K114" s="4"/>
      <c r="L114" s="5">
        <f>IF(J114&gt;0,MOD(K114-J114,1),"")</f>
        <v/>
      </c>
      <c r="M114" s="5">
        <v>0</v>
      </c>
      <c r="N114" s="5">
        <v>0</v>
      </c>
      <c r="O114" s="3">
        <v>0</v>
      </c>
      <c r="P114" s="3">
        <v>0</v>
      </c>
      <c r="Q114" s="3" t="s">
        <v>24</v>
      </c>
      <c r="R114" s="3" t="s">
        <v>24</v>
      </c>
      <c r="S114" s="5">
        <f>_xlfn.IFS(F114="2C1",I114,F114="3C1",I114*0.666666666667,F114="3C2",I114*0.333333333333,F114="3CX","",F114="4C1",I114*0.5,F114="4C2",I114*0.5,F114="4C3","",F114="4CR","",F114="2CR","",F114="2CO","",F114="4CX","",TRUE,"")</f>
        <v/>
      </c>
      <c r="T114" s="3" t="s">
        <v>83</v>
      </c>
    </row>
    <row r="115" spans="1:20">
      <c r="A115" s="2">
        <v>45223</v>
      </c>
      <c r="B115" s="3" t="s">
        <v>60</v>
      </c>
      <c r="C115" s="3" t="s">
        <v>57</v>
      </c>
      <c r="D115" s="3" t="s">
        <v>20</v>
      </c>
      <c r="E115" s="3" t="s">
        <v>50</v>
      </c>
      <c r="F115" s="3" t="s">
        <v>63</v>
      </c>
      <c r="G115" s="4">
        <v>0.7388888888888889</v>
      </c>
      <c r="H115" s="4">
        <v>0.2645833333333333</v>
      </c>
      <c r="I115" s="5">
        <v>0.5256944444444445</v>
      </c>
      <c r="J115" s="4"/>
      <c r="K115" s="4">
        <v>0.2590277777777778</v>
      </c>
      <c r="L115" s="5">
        <f>IF(J115&gt;0,MOD(K115-J115,1),"")</f>
        <v>0.50625</v>
      </c>
      <c r="M115" s="5">
        <v>0.1569444444444444</v>
      </c>
      <c r="N115" s="5">
        <v>0.50625</v>
      </c>
      <c r="O115" s="3">
        <v>0</v>
      </c>
      <c r="P115" s="3">
        <v>0</v>
      </c>
      <c r="Q115" s="3" t="s">
        <v>24</v>
      </c>
      <c r="R115" s="3" t="s">
        <v>24</v>
      </c>
      <c r="S115" s="5">
        <f>_xlfn.IFS(F115="2C1",I115,F115="3C1",I115*0.666666666667,F115="3C2",I115*0.333333333333,F115="3CX","",F115="4C1",I115*0.5,F115="4C2",I115*0.5,F115="4C3","",F115="4CR","",F115="2CR","",F115="2CO","",F115="4CX","",TRUE,"")</f>
        <v/>
      </c>
      <c r="T115" s="3"/>
    </row>
    <row r="116" spans="1:20">
      <c r="A116" s="2">
        <v>45226</v>
      </c>
      <c r="B116" s="3" t="s">
        <v>39</v>
      </c>
      <c r="C116" s="3" t="s">
        <v>20</v>
      </c>
      <c r="D116" s="3" t="s">
        <v>40</v>
      </c>
      <c r="E116" s="3" t="s">
        <v>50</v>
      </c>
      <c r="F116" s="3" t="s">
        <v>63</v>
      </c>
      <c r="G116" s="4">
        <v>0.4986111111111111</v>
      </c>
      <c r="H116" s="4">
        <v>0.08125</v>
      </c>
      <c r="I116" s="5">
        <v>0.5826388888888889</v>
      </c>
      <c r="J116" s="4"/>
      <c r="K116" s="4">
        <v>0.07361111111111111</v>
      </c>
      <c r="L116" s="5">
        <f>IF(J116&gt;0,MOD(K116-J116,1),"")</f>
        <v>0.5583333333333333</v>
      </c>
      <c r="M116" s="5">
        <v>0.3541666666666667</v>
      </c>
      <c r="N116" s="5">
        <v>0.5555555555555556</v>
      </c>
      <c r="O116" s="3">
        <v>0</v>
      </c>
      <c r="P116" s="3">
        <v>0</v>
      </c>
      <c r="Q116" s="3" t="s">
        <v>24</v>
      </c>
      <c r="R116" s="3" t="s">
        <v>24</v>
      </c>
      <c r="S116" s="5">
        <f>_xlfn.IFS(F116="2C1",I116,F116="3C1",I116*0.666666666667,F116="3C2",I116*0.333333333333,F116="3CX","",F116="4C1",I116*0.5,F116="4C2",I116*0.5,F116="4C3","",F116="4CR","",F116="2CR","",F116="2CO","",F116="4CX","",TRUE,"")</f>
        <v/>
      </c>
      <c r="T116" s="3" t="s">
        <v>84</v>
      </c>
    </row>
    <row r="117" spans="1:20">
      <c r="A117" s="2">
        <v>45229</v>
      </c>
      <c r="B117" s="3" t="s">
        <v>43</v>
      </c>
      <c r="C117" s="3" t="s">
        <v>40</v>
      </c>
      <c r="D117" s="3" t="s">
        <v>20</v>
      </c>
      <c r="E117" s="3" t="s">
        <v>32</v>
      </c>
      <c r="F117" s="3" t="s">
        <v>63</v>
      </c>
      <c r="G117" s="4">
        <v>0.2027777777777778</v>
      </c>
      <c r="H117" s="4">
        <v>0.83125</v>
      </c>
      <c r="I117" s="5">
        <v>0.6284722222222222</v>
      </c>
      <c r="J117" s="4"/>
      <c r="K117" s="4">
        <v>0.8256944444444444</v>
      </c>
      <c r="L117" s="5">
        <f>IF(J117&gt;0,MOD(K117-J117,1),"")</f>
        <v>0.6111111111111112</v>
      </c>
      <c r="M117" s="5">
        <v>0.3104166666666667</v>
      </c>
      <c r="N117" s="5">
        <v>0.6076388888888888</v>
      </c>
      <c r="O117" s="3">
        <v>0</v>
      </c>
      <c r="P117" s="3">
        <v>0</v>
      </c>
      <c r="Q117" s="3" t="s">
        <v>24</v>
      </c>
      <c r="R117" s="3" t="s">
        <v>24</v>
      </c>
      <c r="S117" s="5">
        <f>_xlfn.IFS(F117="2C1",I117,F117="3C1",I117*0.666666666667,F117="3C2",I117*0.333333333333,F117="3CX","",F117="4C1",I117*0.5,F117="4C2",I117*0.5,F117="4C3","",F117="4CR","",F117="2CR","",F117="2CO","",F117="4CX","",TRUE,"")</f>
        <v/>
      </c>
      <c r="T117" s="3"/>
    </row>
    <row r="118" spans="1:20">
      <c r="A118" s="2">
        <v>45237</v>
      </c>
      <c r="B118" s="3" t="s">
        <v>85</v>
      </c>
      <c r="C118" s="3" t="s">
        <v>20</v>
      </c>
      <c r="D118" s="3" t="s">
        <v>86</v>
      </c>
      <c r="E118" s="3" t="s">
        <v>32</v>
      </c>
      <c r="F118" s="3" t="s">
        <v>48</v>
      </c>
      <c r="G118" s="4">
        <v>0.3548611111111111</v>
      </c>
      <c r="H118" s="4">
        <v>0.6340277777777777</v>
      </c>
      <c r="I118" s="5">
        <v>0.2791666666666667</v>
      </c>
      <c r="J118" s="4"/>
      <c r="K118" s="4">
        <v>0.6256944444444444</v>
      </c>
      <c r="L118" s="5">
        <f>IF(J118&gt;0,MOD(K118-J118,1),"")</f>
        <v>0.25763888888888886</v>
      </c>
      <c r="M118" s="5">
        <v>0.1131944444444444</v>
      </c>
      <c r="N118" s="5">
        <v>0.2569444444444444</v>
      </c>
      <c r="O118" s="3">
        <v>0</v>
      </c>
      <c r="P118" s="3">
        <v>0</v>
      </c>
      <c r="Q118" s="3" t="s">
        <v>24</v>
      </c>
      <c r="R118" s="3" t="s">
        <v>24</v>
      </c>
      <c r="S118" s="5">
        <f>_xlfn.IFS(F118="2C1",I118,F118="3C1",I118*0.666666666667,F118="3C2",I118*0.333333333333,F118="3CX","",F118="4C1",I118*0.5,F118="4C2",I118*0.5,F118="4C3","",F118="4CR","",F118="2CR","",F118="2CO","",F118="4CX","",TRUE,"")</f>
        <v>0.13958333333333334</v>
      </c>
      <c r="T118" s="3" t="s">
        <v>87</v>
      </c>
    </row>
    <row r="119" spans="1:20">
      <c r="A119" s="2">
        <v>45237</v>
      </c>
      <c r="B119" s="3" t="s">
        <v>88</v>
      </c>
      <c r="C119" s="3" t="s">
        <v>86</v>
      </c>
      <c r="D119" s="3" t="s">
        <v>20</v>
      </c>
      <c r="E119" s="3" t="s">
        <v>32</v>
      </c>
      <c r="F119" s="3" t="s">
        <v>51</v>
      </c>
      <c r="G119" s="4">
        <v>0.7576388888888889</v>
      </c>
      <c r="H119" s="4">
        <v>0.9722222222222222</v>
      </c>
      <c r="I119" s="5">
        <v>0.2145833333333333</v>
      </c>
      <c r="J119" s="4"/>
      <c r="K119" s="4">
        <v>0.9631944444444445</v>
      </c>
      <c r="L119" s="5">
        <f>IF(J119&gt;0,MOD(K119-J119,1),"")</f>
        <v>0.19583333333333333</v>
      </c>
      <c r="M119" s="5">
        <v>0.1381944444444445</v>
      </c>
      <c r="N119" s="5">
        <v>0.1944444444444444</v>
      </c>
      <c r="O119" s="3">
        <v>0</v>
      </c>
      <c r="P119" s="3">
        <v>0</v>
      </c>
      <c r="Q119" s="3" t="s">
        <v>24</v>
      </c>
      <c r="R119" s="3" t="s">
        <v>24</v>
      </c>
      <c r="S119" s="5">
        <f>_xlfn.IFS(F119="2C1",I119,F119="3C1",I119*0.666666666667,F119="3C2",I119*0.333333333333,F119="3CX","",F119="4C1",I119*0.5,F119="4C2",I119*0.5,F119="4C3","",F119="4CR","",F119="2CR","",F119="2CO","",F119="4CX","",TRUE,"")</f>
        <v>0.10729166666666666</v>
      </c>
      <c r="T119" s="3"/>
    </row>
    <row r="120" spans="1:20">
      <c r="A120" s="2">
        <v>45239</v>
      </c>
      <c r="B120" s="3" t="s">
        <v>78</v>
      </c>
      <c r="C120" s="3" t="s">
        <v>20</v>
      </c>
      <c r="D120" s="3" t="s">
        <v>79</v>
      </c>
      <c r="E120" s="3" t="s">
        <v>22</v>
      </c>
      <c r="F120" s="3" t="s">
        <v>51</v>
      </c>
      <c r="G120" s="4">
        <v>0.1298611111111111</v>
      </c>
      <c r="H120" s="4">
        <v>0.7395833333333334</v>
      </c>
      <c r="I120" s="5">
        <v>0.6097222222222223</v>
      </c>
      <c r="J120" s="4"/>
      <c r="K120" s="4">
        <v>0.7347222222222223</v>
      </c>
      <c r="L120" s="5">
        <f>IF(J120&gt;0,MOD(K120-J120,1),"")</f>
        <v>0.5895833333333333</v>
      </c>
      <c r="M120" s="5">
        <v>0.21875</v>
      </c>
      <c r="N120" s="5">
        <v>0.5868055555555556</v>
      </c>
      <c r="O120" s="3">
        <v>1</v>
      </c>
      <c r="P120" s="3">
        <v>1</v>
      </c>
      <c r="Q120" s="3" t="s">
        <v>24</v>
      </c>
      <c r="R120" s="3" t="s">
        <v>24</v>
      </c>
      <c r="S120" s="5">
        <f>_xlfn.IFS(F120="2C1",I120,F120="3C1",I120*0.666666666667,F120="3C2",I120*0.333333333333,F120="3CX","",F120="4C1",I120*0.5,F120="4C2",I120*0.5,F120="4C3","",F120="4CR","",F120="2CR","",F120="2CO","",F120="4CX","",TRUE,"")</f>
        <v>0.30486111111111114</v>
      </c>
      <c r="T120" s="3" t="s">
        <v>89</v>
      </c>
    </row>
    <row r="121" spans="1:20">
      <c r="A121" s="2">
        <v>45243</v>
      </c>
      <c r="B121" s="3" t="s">
        <v>81</v>
      </c>
      <c r="C121" s="3" t="s">
        <v>79</v>
      </c>
      <c r="D121" s="3" t="s">
        <v>20</v>
      </c>
      <c r="E121" s="3" t="s">
        <v>22</v>
      </c>
      <c r="F121" s="3" t="s">
        <v>48</v>
      </c>
      <c r="G121" s="4">
        <v>0.9090277777777778</v>
      </c>
      <c r="H121" s="4">
        <v>0.4326388888888889</v>
      </c>
      <c r="I121" s="5">
        <v>0.5236111111111111</v>
      </c>
      <c r="J121" s="4"/>
      <c r="K121" s="4">
        <v>0.4208333333333333</v>
      </c>
      <c r="L121" s="5">
        <f>IF(J121&gt;0,MOD(K121-J121,1),"")</f>
        <v>0.49722222222222223</v>
      </c>
      <c r="M121" s="5">
        <v>0</v>
      </c>
      <c r="N121" s="5">
        <v>0.4930555555555556</v>
      </c>
      <c r="O121" s="3">
        <v>0</v>
      </c>
      <c r="P121" s="3">
        <v>0</v>
      </c>
      <c r="Q121" s="3" t="s">
        <v>24</v>
      </c>
      <c r="R121" s="3" t="s">
        <v>24</v>
      </c>
      <c r="S121" s="5">
        <f>_xlfn.IFS(F121="2C1",I121,F121="3C1",I121*0.666666666667,F121="3C2",I121*0.333333333333,F121="3CX","",F121="4C1",I121*0.5,F121="4C2",I121*0.5,F121="4C3","",F121="4CR","",F121="2CR","",F121="2CO","",F121="4CX","",TRUE,"")</f>
        <v>0.26180555555555557</v>
      </c>
      <c r="T121" s="3"/>
    </row>
    <row r="122" spans="1:20">
      <c r="A122" s="6" t="s">
        <v>36</v>
      </c>
      <c r="B122" s="6"/>
      <c r="C122" s="6"/>
      <c r="D122" s="6"/>
      <c r="E122" s="6"/>
      <c r="F122" s="6"/>
      <c r="G122" s="6"/>
      <c r="H122" s="6"/>
      <c r="I122" s="7">
        <f>SUM(I112:I121)</f>
        <v>4.394444444444445</v>
      </c>
      <c r="J122" s="8"/>
      <c r="K122" s="8"/>
      <c r="L122" s="7">
        <f>SUM(L112:L121)</f>
        <v>4.197916666666667</v>
      </c>
      <c r="M122" s="7">
        <f>SUM(M112:M121)</f>
        <v>1.51875</v>
      </c>
      <c r="N122" s="7">
        <f>SUM(N112:N121)</f>
        <v>4.18125</v>
      </c>
      <c r="O122" s="8">
        <f>SUM(O112:O121)</f>
        <v>2</v>
      </c>
      <c r="P122" s="8">
        <f>SUM(P112:P121)</f>
        <v>2</v>
      </c>
      <c r="Q122" s="8"/>
      <c r="R122" s="8"/>
      <c r="S122" s="7">
        <f>SUM(S112:S121)</f>
        <v>1.3291666666666666</v>
      </c>
      <c r="T122" s="8"/>
    </row>
    <row r="123" spans="1:20">
      <c r="A123" s="6" t="s">
        <v>37</v>
      </c>
      <c r="B123" s="6"/>
      <c r="C123" s="6"/>
      <c r="D123" s="6"/>
      <c r="E123" s="6"/>
      <c r="F123" s="6"/>
      <c r="G123" s="6"/>
      <c r="H123" s="6"/>
      <c r="I123" s="7">
        <v>567.1069444444445</v>
      </c>
      <c r="J123" s="8"/>
      <c r="K123" s="8"/>
      <c r="L123" s="7"/>
      <c r="M123" s="7">
        <v>206.4090277777778</v>
      </c>
      <c r="N123" s="7">
        <v>419.9520833333333</v>
      </c>
      <c r="O123" s="8">
        <v>1749</v>
      </c>
      <c r="P123" s="8">
        <v>1755</v>
      </c>
      <c r="Q123" s="8"/>
      <c r="R123" s="8"/>
      <c r="S123" s="7">
        <v>262.2805555555556</v>
      </c>
      <c r="T123" s="8"/>
    </row>
    <row r="124" spans="1:20">
      <c r="A124" s="6" t="s">
        <v>38</v>
      </c>
      <c r="B124" s="6"/>
      <c r="C124" s="6"/>
      <c r="D124" s="6"/>
      <c r="E124" s="6"/>
      <c r="F124" s="6"/>
      <c r="G124" s="6"/>
      <c r="H124" s="6"/>
      <c r="I124" s="7">
        <v>571.5013888888889</v>
      </c>
      <c r="J124" s="8"/>
      <c r="K124" s="8"/>
      <c r="L124" s="7"/>
      <c r="M124" s="7">
        <v>207.9277777777778</v>
      </c>
      <c r="N124" s="7">
        <v>424.1333333333333</v>
      </c>
      <c r="O124" s="8">
        <v>1751</v>
      </c>
      <c r="P124" s="8">
        <v>1757</v>
      </c>
      <c r="Q124" s="8"/>
      <c r="R124" s="8"/>
      <c r="S124" s="7">
        <v>263.6097222222222</v>
      </c>
      <c r="T124" s="8"/>
    </row>
    <row r="133" spans="1:20">
      <c r="A133" s="1" t="s">
        <v>0</v>
      </c>
      <c r="B133" s="1" t="s">
        <v>1</v>
      </c>
      <c r="C133" s="1" t="s">
        <v>2</v>
      </c>
      <c r="D133" s="1" t="s">
        <v>3</v>
      </c>
      <c r="E133" s="1" t="s">
        <v>4</v>
      </c>
      <c r="F133" s="1" t="s">
        <v>5</v>
      </c>
      <c r="G133" s="1" t="s">
        <v>6</v>
      </c>
      <c r="H133" s="1" t="s">
        <v>7</v>
      </c>
      <c r="I133" s="1" t="s">
        <v>8</v>
      </c>
      <c r="J133" s="1" t="s">
        <v>3</v>
      </c>
      <c r="K133" s="1" t="s">
        <v>9</v>
      </c>
      <c r="L133" s="1" t="s">
        <v>10</v>
      </c>
      <c r="M133" s="1" t="s">
        <v>11</v>
      </c>
      <c r="N133" s="1" t="s">
        <v>12</v>
      </c>
      <c r="O133" s="1" t="s">
        <v>13</v>
      </c>
      <c r="P133" s="1" t="s">
        <v>14</v>
      </c>
      <c r="Q133" s="1" t="s">
        <v>15</v>
      </c>
      <c r="R133" s="1" t="s">
        <v>16</v>
      </c>
      <c r="S133" s="1" t="s">
        <v>17</v>
      </c>
      <c r="T133" s="1" t="s">
        <v>18</v>
      </c>
    </row>
    <row r="134" spans="1:20">
      <c r="A134" s="2">
        <v>45246</v>
      </c>
      <c r="B134" s="3" t="s">
        <v>90</v>
      </c>
      <c r="C134" s="3" t="s">
        <v>20</v>
      </c>
      <c r="D134" s="3" t="s">
        <v>91</v>
      </c>
      <c r="E134" s="3" t="s">
        <v>22</v>
      </c>
      <c r="F134" s="3" t="s">
        <v>46</v>
      </c>
      <c r="G134" s="4">
        <v>0.35625</v>
      </c>
      <c r="H134" s="4">
        <v>0.5993055555555555</v>
      </c>
      <c r="I134" s="5">
        <v>0.2430555555555556</v>
      </c>
      <c r="J134" s="4"/>
      <c r="K134" s="4">
        <v>0.5916666666666667</v>
      </c>
      <c r="L134" s="5">
        <f>IF(J134&gt;0,MOD(K134-J134,1),"")</f>
        <v>0.22361111111111112</v>
      </c>
      <c r="M134" s="5">
        <v>0.07847222222222222</v>
      </c>
      <c r="N134" s="5">
        <v>0.2222222222222222</v>
      </c>
      <c r="O134" s="3">
        <v>1</v>
      </c>
      <c r="P134" s="3">
        <v>1</v>
      </c>
      <c r="Q134" s="3" t="s">
        <v>24</v>
      </c>
      <c r="R134" s="3" t="s">
        <v>24</v>
      </c>
      <c r="S134" s="5">
        <f>_xlfn.IFS(F134="2C1",I134,F134="3C1",I134*0.666666666667,F134="3C2",I134*0.333333333333,F134="3CX","",F134="4C1",I134*0.5,F134="4C2",I134*0.5,F134="4C3","",F134="4CR","",F134="2CR","",F134="2CO","",F134="4CX","",TRUE,"")</f>
        <v>0.24305555555555555</v>
      </c>
      <c r="T134" s="3" t="s">
        <v>92</v>
      </c>
    </row>
    <row r="135" spans="1:20">
      <c r="A135" s="2">
        <v>45247</v>
      </c>
      <c r="B135" s="3" t="s">
        <v>93</v>
      </c>
      <c r="C135" s="3" t="s">
        <v>91</v>
      </c>
      <c r="D135" s="3" t="s">
        <v>20</v>
      </c>
      <c r="E135" s="3" t="s">
        <v>32</v>
      </c>
      <c r="F135" s="3" t="s">
        <v>46</v>
      </c>
      <c r="G135" s="4">
        <v>0.66875</v>
      </c>
      <c r="H135" s="4">
        <v>0.8951388888888889</v>
      </c>
      <c r="I135" s="5">
        <v>0.2263888888888889</v>
      </c>
      <c r="J135" s="4"/>
      <c r="K135" s="4">
        <v>0.8868055555555555</v>
      </c>
      <c r="L135" s="5">
        <f>IF(J135&gt;0,MOD(K135-J135,1),"")</f>
        <v>0.20069444444444445</v>
      </c>
      <c r="M135" s="5">
        <v>0.2270833333333333</v>
      </c>
      <c r="N135" s="5">
        <v>0.1979166666666667</v>
      </c>
      <c r="O135" s="3">
        <v>1</v>
      </c>
      <c r="P135" s="3">
        <v>1</v>
      </c>
      <c r="Q135" s="3" t="s">
        <v>24</v>
      </c>
      <c r="R135" s="3" t="s">
        <v>24</v>
      </c>
      <c r="S135" s="5">
        <f>_xlfn.IFS(F135="2C1",I135,F135="3C1",I135*0.666666666667,F135="3C2",I135*0.333333333333,F135="3CX","",F135="4C1",I135*0.5,F135="4C2",I135*0.5,F135="4C3","",F135="4CR","",F135="2CR","",F135="2CO","",F135="4CX","",TRUE,"")</f>
        <v>0.2263888888888889</v>
      </c>
      <c r="T135" s="3"/>
    </row>
    <row r="136" spans="1:20">
      <c r="A136" s="2">
        <v>45250</v>
      </c>
      <c r="B136" s="3" t="s">
        <v>39</v>
      </c>
      <c r="C136" s="3" t="s">
        <v>20</v>
      </c>
      <c r="D136" s="3" t="s">
        <v>40</v>
      </c>
      <c r="E136" s="3" t="s">
        <v>44</v>
      </c>
      <c r="F136" s="3" t="s">
        <v>48</v>
      </c>
      <c r="G136" s="4">
        <v>0.5409722222222222</v>
      </c>
      <c r="H136" s="4">
        <v>0.1055555555555556</v>
      </c>
      <c r="I136" s="5">
        <v>0.5645833333333333</v>
      </c>
      <c r="J136" s="4"/>
      <c r="K136" s="4">
        <v>0.09930555555555555</v>
      </c>
      <c r="L136" s="5">
        <f>IF(J136&gt;0,MOD(K136-J136,1),"")</f>
        <v>0.5465277777777777</v>
      </c>
      <c r="M136" s="5">
        <v>0.3541666666666667</v>
      </c>
      <c r="N136" s="5">
        <v>0.5465277777777777</v>
      </c>
      <c r="O136" s="3">
        <v>0</v>
      </c>
      <c r="P136" s="3">
        <v>0</v>
      </c>
      <c r="Q136" s="3" t="s">
        <v>24</v>
      </c>
      <c r="R136" s="3" t="s">
        <v>24</v>
      </c>
      <c r="S136" s="5">
        <f>_xlfn.IFS(F136="2C1",I136,F136="3C1",I136*0.666666666667,F136="3C2",I136*0.333333333333,F136="3CX","",F136="4C1",I136*0.5,F136="4C2",I136*0.5,F136="4C3","",F136="4CR","",F136="2CR","",F136="2CO","",F136="4CX","",TRUE,"")</f>
        <v>0.28229166666666666</v>
      </c>
      <c r="T136" s="3" t="s">
        <v>94</v>
      </c>
    </row>
    <row r="137" spans="1:20">
      <c r="A137" s="2">
        <v>45253</v>
      </c>
      <c r="B137" s="3" t="s">
        <v>43</v>
      </c>
      <c r="C137" s="3" t="s">
        <v>40</v>
      </c>
      <c r="D137" s="3" t="s">
        <v>20</v>
      </c>
      <c r="E137" s="3" t="s">
        <v>32</v>
      </c>
      <c r="F137" s="3" t="s">
        <v>51</v>
      </c>
      <c r="G137" s="4">
        <v>0.2006944444444445</v>
      </c>
      <c r="H137" s="4">
        <v>0.8652777777777778</v>
      </c>
      <c r="I137" s="5">
        <v>0.6645833333333333</v>
      </c>
      <c r="J137" s="4"/>
      <c r="K137" s="4">
        <v>0.8569444444444444</v>
      </c>
      <c r="L137" s="5">
        <f>IF(J137&gt;0,MOD(K137-J137,1),"")</f>
        <v>0.6416666666666667</v>
      </c>
      <c r="M137" s="5">
        <v>0.3444444444444444</v>
      </c>
      <c r="N137" s="5">
        <v>0.6388888888888888</v>
      </c>
      <c r="O137" s="3">
        <v>0</v>
      </c>
      <c r="P137" s="3">
        <v>0</v>
      </c>
      <c r="Q137" s="3" t="s">
        <v>24</v>
      </c>
      <c r="R137" s="3" t="s">
        <v>24</v>
      </c>
      <c r="S137" s="5">
        <f>_xlfn.IFS(F137="2C1",I137,F137="3C1",I137*0.666666666667,F137="3C2",I137*0.333333333333,F137="3CX","",F137="4C1",I137*0.5,F137="4C2",I137*0.5,F137="4C3","",F137="4CR","",F137="2CR","",F137="2CO","",F137="4CX","",TRUE,"")</f>
        <v>0.33229166666666665</v>
      </c>
      <c r="T137" s="3"/>
    </row>
    <row r="138" spans="1:20">
      <c r="A138" s="2">
        <v>45261</v>
      </c>
      <c r="B138" s="3" t="s">
        <v>90</v>
      </c>
      <c r="C138" s="3" t="s">
        <v>20</v>
      </c>
      <c r="D138" s="3" t="s">
        <v>91</v>
      </c>
      <c r="E138" s="3" t="s">
        <v>32</v>
      </c>
      <c r="F138" s="3" t="s">
        <v>46</v>
      </c>
      <c r="G138" s="4">
        <v>0.3611111111111111</v>
      </c>
      <c r="H138" s="4">
        <v>0.6006944444444444</v>
      </c>
      <c r="I138" s="5">
        <v>0.2395833333333333</v>
      </c>
      <c r="J138" s="4"/>
      <c r="K138" s="4">
        <v>0.5958333333333333</v>
      </c>
      <c r="L138" s="5">
        <f>IF(J138&gt;0,MOD(K138-J138,1),"")</f>
        <v>0.225</v>
      </c>
      <c r="M138" s="5">
        <v>0.0798611111111111</v>
      </c>
      <c r="N138" s="5">
        <v>0.2152777777777778</v>
      </c>
      <c r="O138" s="3">
        <v>0</v>
      </c>
      <c r="P138" s="3">
        <v>0</v>
      </c>
      <c r="Q138" s="3" t="s">
        <v>24</v>
      </c>
      <c r="R138" s="3" t="s">
        <v>24</v>
      </c>
      <c r="S138" s="5">
        <f>_xlfn.IFS(F138="2C1",I138,F138="3C1",I138*0.666666666667,F138="3C2",I138*0.333333333333,F138="3CX","",F138="4C1",I138*0.5,F138="4C2",I138*0.5,F138="4C3","",F138="4CR","",F138="2CR","",F138="2CO","",F138="4CX","",TRUE,"")</f>
        <v>0.23958333333333334</v>
      </c>
      <c r="T138" s="3" t="s">
        <v>95</v>
      </c>
    </row>
    <row r="139" spans="1:20">
      <c r="A139" s="2">
        <v>45262</v>
      </c>
      <c r="B139" s="3" t="s">
        <v>93</v>
      </c>
      <c r="C139" s="3" t="s">
        <v>91</v>
      </c>
      <c r="D139" s="3" t="s">
        <v>20</v>
      </c>
      <c r="E139" s="3" t="s">
        <v>28</v>
      </c>
      <c r="F139" s="3" t="s">
        <v>46</v>
      </c>
      <c r="G139" s="4">
        <v>0.6590277777777778</v>
      </c>
      <c r="H139" s="4">
        <v>0.8798611111111111</v>
      </c>
      <c r="I139" s="5">
        <v>0.2208333333333333</v>
      </c>
      <c r="J139" s="4"/>
      <c r="K139" s="4">
        <v>0.8708333333333333</v>
      </c>
      <c r="L139" s="5">
        <f>IF(J139&gt;0,MOD(K139-J139,1),"")</f>
        <v>0.19930555555555557</v>
      </c>
      <c r="M139" s="5">
        <v>0.2368055555555555</v>
      </c>
      <c r="N139" s="5">
        <v>0.1875</v>
      </c>
      <c r="O139" s="3">
        <v>1</v>
      </c>
      <c r="P139" s="3">
        <v>1</v>
      </c>
      <c r="Q139" s="3" t="s">
        <v>24</v>
      </c>
      <c r="R139" s="3" t="s">
        <v>24</v>
      </c>
      <c r="S139" s="5">
        <f>_xlfn.IFS(F139="2C1",I139,F139="3C1",I139*0.666666666667,F139="3C2",I139*0.333333333333,F139="3CX","",F139="4C1",I139*0.5,F139="4C2",I139*0.5,F139="4C3","",F139="4CR","",F139="2CR","",F139="2CO","",F139="4CX","",TRUE,"")</f>
        <v>0.22083333333333333</v>
      </c>
      <c r="T139" s="3"/>
    </row>
    <row r="140" spans="1:20">
      <c r="A140" s="2">
        <v>45264</v>
      </c>
      <c r="B140" s="3" t="s">
        <v>39</v>
      </c>
      <c r="C140" s="3" t="s">
        <v>20</v>
      </c>
      <c r="D140" s="3" t="s">
        <v>40</v>
      </c>
      <c r="E140" s="3" t="s">
        <v>44</v>
      </c>
      <c r="F140" s="3" t="s">
        <v>51</v>
      </c>
      <c r="G140" s="4">
        <v>0.5361111111111111</v>
      </c>
      <c r="H140" s="4">
        <v>0.09861111111111111</v>
      </c>
      <c r="I140" s="5">
        <v>0.5625</v>
      </c>
      <c r="J140" s="4"/>
      <c r="K140" s="4">
        <v>0.09097222222222222</v>
      </c>
      <c r="L140" s="5">
        <f>IF(J140&gt;0,MOD(K140-J140,1),"")</f>
        <v>0.5381944444444444</v>
      </c>
      <c r="M140" s="5">
        <v>0.3541666666666667</v>
      </c>
      <c r="N140" s="5">
        <v>0.5347222222222222</v>
      </c>
      <c r="O140" s="3">
        <v>1</v>
      </c>
      <c r="P140" s="3">
        <v>1</v>
      </c>
      <c r="Q140" s="3" t="s">
        <v>24</v>
      </c>
      <c r="R140" s="3" t="s">
        <v>24</v>
      </c>
      <c r="S140" s="5">
        <f>_xlfn.IFS(F140="2C1",I140,F140="3C1",I140*0.666666666667,F140="3C2",I140*0.333333333333,F140="3CX","",F140="4C1",I140*0.5,F140="4C2",I140*0.5,F140="4C3","",F140="4CR","",F140="2CR","",F140="2CO","",F140="4CX","",TRUE,"")</f>
        <v>0.28125</v>
      </c>
      <c r="T140" s="3" t="s">
        <v>96</v>
      </c>
    </row>
    <row r="141" spans="1:20">
      <c r="A141" s="2">
        <v>45267</v>
      </c>
      <c r="B141" s="3" t="s">
        <v>43</v>
      </c>
      <c r="C141" s="3" t="s">
        <v>40</v>
      </c>
      <c r="D141" s="3" t="s">
        <v>20</v>
      </c>
      <c r="E141" s="3" t="s">
        <v>44</v>
      </c>
      <c r="F141" s="3" t="s">
        <v>97</v>
      </c>
      <c r="G141" s="4"/>
      <c r="H141" s="4"/>
      <c r="I141" s="5"/>
      <c r="J141" s="4"/>
      <c r="K141" s="4"/>
      <c r="L141" s="5">
        <f>IF(J141&gt;0,MOD(K141-J141,1),"")</f>
        <v/>
      </c>
      <c r="M141" s="5">
        <v>0</v>
      </c>
      <c r="N141" s="5">
        <v>0</v>
      </c>
      <c r="O141" s="3">
        <v>0</v>
      </c>
      <c r="P141" s="3">
        <v>0</v>
      </c>
      <c r="Q141" s="3" t="s">
        <v>24</v>
      </c>
      <c r="R141" s="3" t="s">
        <v>24</v>
      </c>
      <c r="S141" s="5">
        <f>_xlfn.IFS(F141="2C1",I141,F141="3C1",I141*0.666666666667,F141="3C2",I141*0.333333333333,F141="3CX","",F141="4C1",I141*0.5,F141="4C2",I141*0.5,F141="4C3","",F141="4CR","",F141="2CR","",F141="2CO","",F141="4CX","",TRUE,"")</f>
        <v/>
      </c>
      <c r="T141" s="3"/>
    </row>
    <row r="142" spans="1:20">
      <c r="A142" s="2">
        <v>45280</v>
      </c>
      <c r="B142" s="3" t="s">
        <v>39</v>
      </c>
      <c r="C142" s="3" t="s">
        <v>20</v>
      </c>
      <c r="D142" s="3" t="s">
        <v>40</v>
      </c>
      <c r="E142" s="3" t="s">
        <v>44</v>
      </c>
      <c r="F142" s="3" t="s">
        <v>51</v>
      </c>
      <c r="G142" s="4">
        <v>0.5423611111111111</v>
      </c>
      <c r="H142" s="4">
        <v>0.08680555555555555</v>
      </c>
      <c r="I142" s="5">
        <v>0.5444444444444444</v>
      </c>
      <c r="J142" s="4"/>
      <c r="K142" s="4">
        <v>0.07847222222222222</v>
      </c>
      <c r="L142" s="5">
        <f>IF(J142&gt;0,MOD(K142-J142,1),"")</f>
        <v>0.5243055555555556</v>
      </c>
      <c r="M142" s="5">
        <v>0.3534722222222222</v>
      </c>
      <c r="N142" s="5">
        <v>0.5</v>
      </c>
      <c r="O142" s="3">
        <v>1</v>
      </c>
      <c r="P142" s="3">
        <v>1</v>
      </c>
      <c r="Q142" s="3" t="s">
        <v>24</v>
      </c>
      <c r="R142" s="3" t="s">
        <v>24</v>
      </c>
      <c r="S142" s="5">
        <f>_xlfn.IFS(F142="2C1",I142,F142="3C1",I142*0.666666666667,F142="3C2",I142*0.333333333333,F142="3CX","",F142="4C1",I142*0.5,F142="4C2",I142*0.5,F142="4C3","",F142="4CR","",F142="2CR","",F142="2CO","",F142="4CX","",TRUE,"")</f>
        <v>0.2722222222222222</v>
      </c>
      <c r="T142" s="3" t="s">
        <v>98</v>
      </c>
    </row>
    <row r="143" spans="1:20">
      <c r="A143" s="2">
        <v>45283</v>
      </c>
      <c r="B143" s="3" t="s">
        <v>43</v>
      </c>
      <c r="C143" s="3" t="s">
        <v>40</v>
      </c>
      <c r="D143" s="3" t="s">
        <v>20</v>
      </c>
      <c r="E143" s="3" t="s">
        <v>32</v>
      </c>
      <c r="F143" s="3" t="s">
        <v>48</v>
      </c>
      <c r="G143" s="4">
        <v>0.3222222222222222</v>
      </c>
      <c r="H143" s="4">
        <v>0.9701388888888889</v>
      </c>
      <c r="I143" s="5">
        <v>0.6479166666666667</v>
      </c>
      <c r="J143" s="4"/>
      <c r="K143" s="4">
        <v>0.9618055555555556</v>
      </c>
      <c r="L143" s="5">
        <f>IF(J143&gt;0,MOD(K143-J143,1),"")</f>
        <v>0.6284722222222222</v>
      </c>
      <c r="M143" s="5">
        <v>0.3541666666666667</v>
      </c>
      <c r="N143" s="5">
        <v>0.625</v>
      </c>
      <c r="O143" s="3">
        <v>0</v>
      </c>
      <c r="P143" s="3">
        <v>0</v>
      </c>
      <c r="Q143" s="3" t="s">
        <v>24</v>
      </c>
      <c r="R143" s="3" t="s">
        <v>24</v>
      </c>
      <c r="S143" s="5">
        <f>_xlfn.IFS(F143="2C1",I143,F143="3C1",I143*0.666666666667,F143="3C2",I143*0.333333333333,F143="3CX","",F143="4C1",I143*0.5,F143="4C2",I143*0.5,F143="4C3","",F143="4CR","",F143="2CR","",F143="2CO","",F143="4CX","",TRUE,"")</f>
        <v>0.32395833333333335</v>
      </c>
      <c r="T143" s="3"/>
    </row>
    <row r="144" spans="1:20">
      <c r="A144" s="6" t="s">
        <v>36</v>
      </c>
      <c r="B144" s="6"/>
      <c r="C144" s="6"/>
      <c r="D144" s="6"/>
      <c r="E144" s="6"/>
      <c r="F144" s="6"/>
      <c r="G144" s="6"/>
      <c r="H144" s="6"/>
      <c r="I144" s="7">
        <f>SUM(I134:I143)</f>
        <v>3.9138888888888888</v>
      </c>
      <c r="J144" s="8"/>
      <c r="K144" s="8"/>
      <c r="L144" s="7">
        <f>SUM(L134:L143)</f>
        <v>3.727777777777778</v>
      </c>
      <c r="M144" s="7">
        <f>SUM(M134:M143)</f>
        <v>2.3826388888888888</v>
      </c>
      <c r="N144" s="7">
        <f>SUM(N134:N143)</f>
        <v>3.6680555555555556</v>
      </c>
      <c r="O144" s="8">
        <f>SUM(O134:O143)</f>
        <v>5</v>
      </c>
      <c r="P144" s="8">
        <f>SUM(P134:P143)</f>
        <v>5</v>
      </c>
      <c r="Q144" s="8"/>
      <c r="R144" s="8"/>
      <c r="S144" s="7">
        <f>SUM(S134:S143)</f>
        <v>2.422222222222222</v>
      </c>
      <c r="T144" s="8"/>
    </row>
    <row r="145" spans="1:20">
      <c r="A145" s="6" t="s">
        <v>37</v>
      </c>
      <c r="B145" s="6"/>
      <c r="C145" s="6"/>
      <c r="D145" s="6"/>
      <c r="E145" s="6"/>
      <c r="F145" s="6"/>
      <c r="G145" s="6"/>
      <c r="H145" s="6"/>
      <c r="I145" s="7">
        <v>571.5013888888889</v>
      </c>
      <c r="J145" s="8"/>
      <c r="K145" s="8"/>
      <c r="L145" s="7"/>
      <c r="M145" s="7">
        <v>207.9277777777778</v>
      </c>
      <c r="N145" s="7">
        <v>424.1333333333333</v>
      </c>
      <c r="O145" s="8">
        <v>1751</v>
      </c>
      <c r="P145" s="8">
        <v>1757</v>
      </c>
      <c r="Q145" s="8"/>
      <c r="R145" s="8"/>
      <c r="S145" s="7">
        <v>263.6097222222222</v>
      </c>
      <c r="T145" s="8"/>
    </row>
    <row r="146" spans="1:20">
      <c r="A146" s="6" t="s">
        <v>38</v>
      </c>
      <c r="B146" s="6"/>
      <c r="C146" s="6"/>
      <c r="D146" s="6"/>
      <c r="E146" s="6"/>
      <c r="F146" s="6"/>
      <c r="G146" s="6"/>
      <c r="H146" s="6"/>
      <c r="I146" s="7">
        <v>575.4152777777778</v>
      </c>
      <c r="J146" s="8"/>
      <c r="K146" s="8"/>
      <c r="L146" s="7"/>
      <c r="M146" s="7">
        <v>210.3104166666667</v>
      </c>
      <c r="N146" s="7">
        <v>427.8013888888889</v>
      </c>
      <c r="O146" s="8">
        <v>1756</v>
      </c>
      <c r="P146" s="8">
        <v>1762</v>
      </c>
      <c r="Q146" s="8"/>
      <c r="R146" s="8"/>
      <c r="S146" s="7">
        <v>266.0319444444444</v>
      </c>
      <c r="T146" s="8"/>
    </row>
    <row r="155" spans="1:20">
      <c r="A155" s="1" t="s">
        <v>0</v>
      </c>
      <c r="B155" s="1" t="s">
        <v>1</v>
      </c>
      <c r="C155" s="1" t="s">
        <v>2</v>
      </c>
      <c r="D155" s="1" t="s">
        <v>3</v>
      </c>
      <c r="E155" s="1" t="s">
        <v>4</v>
      </c>
      <c r="F155" s="1" t="s">
        <v>5</v>
      </c>
      <c r="G155" s="1" t="s">
        <v>6</v>
      </c>
      <c r="H155" s="1" t="s">
        <v>7</v>
      </c>
      <c r="I155" s="1" t="s">
        <v>8</v>
      </c>
      <c r="J155" s="1" t="s">
        <v>3</v>
      </c>
      <c r="K155" s="1" t="s">
        <v>9</v>
      </c>
      <c r="L155" s="1" t="s">
        <v>10</v>
      </c>
      <c r="M155" s="1" t="s">
        <v>11</v>
      </c>
      <c r="N155" s="1" t="s">
        <v>12</v>
      </c>
      <c r="O155" s="1" t="s">
        <v>13</v>
      </c>
      <c r="P155" s="1" t="s">
        <v>14</v>
      </c>
      <c r="Q155" s="1" t="s">
        <v>15</v>
      </c>
      <c r="R155" s="1" t="s">
        <v>16</v>
      </c>
      <c r="S155" s="1" t="s">
        <v>17</v>
      </c>
      <c r="T155" s="1" t="s">
        <v>18</v>
      </c>
    </row>
    <row r="156" spans="1:20">
      <c r="A156" s="2">
        <v>45287</v>
      </c>
      <c r="B156" s="3" t="s">
        <v>56</v>
      </c>
      <c r="C156" s="3" t="s">
        <v>20</v>
      </c>
      <c r="D156" s="3" t="s">
        <v>57</v>
      </c>
      <c r="E156" s="3" t="s">
        <v>32</v>
      </c>
      <c r="F156" s="3" t="s">
        <v>51</v>
      </c>
      <c r="G156" s="4">
        <v>0.1923611111111111</v>
      </c>
      <c r="H156" s="4">
        <v>0.6277777777777778</v>
      </c>
      <c r="I156" s="5">
        <v>0.4354166666666667</v>
      </c>
      <c r="J156" s="4"/>
      <c r="K156" s="4">
        <v>0.6222222222222222</v>
      </c>
      <c r="L156" s="5">
        <f>IF(J156&gt;0,MOD(K156-J156,1),"")</f>
        <v>0.4131944444444444</v>
      </c>
      <c r="M156" s="5">
        <v>0.1069444444444444</v>
      </c>
      <c r="N156" s="5">
        <v>0.4097222222222222</v>
      </c>
      <c r="O156" s="3">
        <v>1</v>
      </c>
      <c r="P156" s="3">
        <v>1</v>
      </c>
      <c r="Q156" s="3" t="s">
        <v>24</v>
      </c>
      <c r="R156" s="3" t="s">
        <v>24</v>
      </c>
      <c r="S156" s="5">
        <f>_xlfn.IFS(F156="2C1",I156,F156="3C1",I156*0.666666666667,F156="3C2",I156*0.333333333333,F156="3CX","",F156="4C1",I156*0.5,F156="4C2",I156*0.5,F156="4C3","",F156="4CR","",F156="2CR","",F156="2CO","",F156="4CX","",TRUE,"")</f>
        <v>0.21770833333333334</v>
      </c>
      <c r="T156" s="3" t="s">
        <v>99</v>
      </c>
    </row>
    <row r="157" spans="1:20">
      <c r="A157" s="2">
        <v>45290</v>
      </c>
      <c r="B157" s="3" t="s">
        <v>60</v>
      </c>
      <c r="C157" s="3" t="s">
        <v>57</v>
      </c>
      <c r="D157" s="3" t="s">
        <v>20</v>
      </c>
      <c r="E157" s="3" t="s">
        <v>44</v>
      </c>
      <c r="F157" s="3" t="s">
        <v>48</v>
      </c>
      <c r="G157" s="4">
        <v>0.8652777777777778</v>
      </c>
      <c r="H157" s="4">
        <v>0.4236111111111111</v>
      </c>
      <c r="I157" s="5">
        <v>0.5583333333333333</v>
      </c>
      <c r="J157" s="4"/>
      <c r="K157" s="4">
        <v>0.4159722222222222</v>
      </c>
      <c r="L157" s="5">
        <f>IF(J157&gt;0,MOD(K157-J157,1),"")</f>
        <v>0.53125</v>
      </c>
      <c r="M157" s="5">
        <v>0.03055555555555555</v>
      </c>
      <c r="N157" s="5">
        <v>0.53125</v>
      </c>
      <c r="O157" s="3">
        <v>0</v>
      </c>
      <c r="P157" s="3">
        <v>0</v>
      </c>
      <c r="Q157" s="3" t="s">
        <v>24</v>
      </c>
      <c r="R157" s="3" t="s">
        <v>24</v>
      </c>
      <c r="S157" s="5">
        <f>_xlfn.IFS(F157="2C1",I157,F157="3C1",I157*0.666666666667,F157="3C2",I157*0.333333333333,F157="3CX","",F157="4C1",I157*0.5,F157="4C2",I157*0.5,F157="4C3","",F157="4CR","",F157="2CR","",F157="2CO","",F157="4CX","",TRUE,"")</f>
        <v>0.2791666666666667</v>
      </c>
      <c r="T157" s="3"/>
    </row>
    <row r="158" spans="1:20">
      <c r="A158" s="2">
        <v>45293</v>
      </c>
      <c r="B158" s="3" t="s">
        <v>78</v>
      </c>
      <c r="C158" s="3" t="s">
        <v>20</v>
      </c>
      <c r="D158" s="3" t="s">
        <v>79</v>
      </c>
      <c r="E158" s="3" t="s">
        <v>44</v>
      </c>
      <c r="F158" s="3" t="s">
        <v>51</v>
      </c>
      <c r="G158" s="4">
        <v>0.1118055555555556</v>
      </c>
      <c r="H158" s="4">
        <v>0.71875</v>
      </c>
      <c r="I158" s="5">
        <v>0.6069444444444444</v>
      </c>
      <c r="J158" s="4"/>
      <c r="K158" s="4">
        <v>0.7138888888888889</v>
      </c>
      <c r="L158" s="5">
        <f>IF(J158&gt;0,MOD(K158-J158,1),"")</f>
        <v>0.5888888888888889</v>
      </c>
      <c r="M158" s="5">
        <v>0.1979166666666667</v>
      </c>
      <c r="N158" s="5">
        <v>0.5868055555555556</v>
      </c>
      <c r="O158" s="3">
        <v>1</v>
      </c>
      <c r="P158" s="3">
        <v>1</v>
      </c>
      <c r="Q158" s="3" t="s">
        <v>24</v>
      </c>
      <c r="R158" s="3" t="s">
        <v>24</v>
      </c>
      <c r="S158" s="5">
        <f>_xlfn.IFS(F158="2C1",I158,F158="3C1",I158*0.666666666667,F158="3C2",I158*0.333333333333,F158="3CX","",F158="4C1",I158*0.5,F158="4C2",I158*0.5,F158="4C3","",F158="4CR","",F158="2CR","",F158="2CO","",F158="4CX","",TRUE,"")</f>
        <v>0.3034722222222222</v>
      </c>
      <c r="T158" s="3" t="s">
        <v>100</v>
      </c>
    </row>
    <row r="159" spans="1:20">
      <c r="A159" s="2">
        <v>45296</v>
      </c>
      <c r="B159" s="3" t="s">
        <v>81</v>
      </c>
      <c r="C159" s="3" t="s">
        <v>79</v>
      </c>
      <c r="D159" s="3" t="s">
        <v>20</v>
      </c>
      <c r="E159" s="3" t="s">
        <v>28</v>
      </c>
      <c r="F159" s="3" t="s">
        <v>48</v>
      </c>
      <c r="G159" s="4">
        <v>0.05416666666666667</v>
      </c>
      <c r="H159" s="4">
        <v>0.5472222222222223</v>
      </c>
      <c r="I159" s="5">
        <v>0.4930555555555556</v>
      </c>
      <c r="J159" s="4"/>
      <c r="K159" s="4">
        <v>0.5409722222222222</v>
      </c>
      <c r="L159" s="5">
        <f>IF(J159&gt;0,MOD(K159-J159,1),"")</f>
        <v>0.47847222222222224</v>
      </c>
      <c r="M159" s="5">
        <v>0.02638888888888889</v>
      </c>
      <c r="N159" s="5">
        <v>0.4722222222222222</v>
      </c>
      <c r="O159" s="3">
        <v>0</v>
      </c>
      <c r="P159" s="3">
        <v>0</v>
      </c>
      <c r="Q159" s="3" t="s">
        <v>24</v>
      </c>
      <c r="R159" s="3" t="s">
        <v>24</v>
      </c>
      <c r="S159" s="5">
        <f>_xlfn.IFS(F159="2C1",I159,F159="3C1",I159*0.666666666667,F159="3C2",I159*0.333333333333,F159="3CX","",F159="4C1",I159*0.5,F159="4C2",I159*0.5,F159="4C3","",F159="4CR","",F159="2CR","",F159="2CO","",F159="4CX","",TRUE,"")</f>
        <v>0.2465277777777778</v>
      </c>
      <c r="T159" s="3"/>
    </row>
    <row r="160" spans="1:20">
      <c r="A160" s="2">
        <v>45298</v>
      </c>
      <c r="B160" s="3" t="s">
        <v>56</v>
      </c>
      <c r="C160" s="3" t="s">
        <v>20</v>
      </c>
      <c r="D160" s="3" t="s">
        <v>57</v>
      </c>
      <c r="E160" s="3" t="s">
        <v>50</v>
      </c>
      <c r="F160" s="3" t="s">
        <v>51</v>
      </c>
      <c r="G160" s="4">
        <v>0.1888888888888889</v>
      </c>
      <c r="H160" s="4">
        <v>0.6381944444444444</v>
      </c>
      <c r="I160" s="5">
        <v>0.4493055555555556</v>
      </c>
      <c r="J160" s="4"/>
      <c r="K160" s="4">
        <v>0.6298611111111111</v>
      </c>
      <c r="L160" s="5">
        <f>IF(J160&gt;0,MOD(K160-J160,1),"")</f>
        <v>0.42916666666666664</v>
      </c>
      <c r="M160" s="5">
        <v>0.1173611111111111</v>
      </c>
      <c r="N160" s="5">
        <v>0.4270833333333333</v>
      </c>
      <c r="O160" s="3">
        <v>1</v>
      </c>
      <c r="P160" s="3">
        <v>1</v>
      </c>
      <c r="Q160" s="3" t="s">
        <v>24</v>
      </c>
      <c r="R160" s="3" t="s">
        <v>24</v>
      </c>
      <c r="S160" s="5">
        <f>_xlfn.IFS(F160="2C1",I160,F160="3C1",I160*0.666666666667,F160="3C2",I160*0.333333333333,F160="3CX","",F160="4C1",I160*0.5,F160="4C2",I160*0.5,F160="4C3","",F160="4CR","",F160="2CR","",F160="2CO","",F160="4CX","",TRUE,"")</f>
        <v>0.22465277777777778</v>
      </c>
      <c r="T160" s="3" t="s">
        <v>101</v>
      </c>
    </row>
    <row r="161" spans="1:20">
      <c r="A161" s="2">
        <v>45301</v>
      </c>
      <c r="B161" s="3" t="s">
        <v>60</v>
      </c>
      <c r="C161" s="3" t="s">
        <v>57</v>
      </c>
      <c r="D161" s="3" t="s">
        <v>20</v>
      </c>
      <c r="E161" s="3" t="s">
        <v>44</v>
      </c>
      <c r="F161" s="3" t="s">
        <v>48</v>
      </c>
      <c r="G161" s="4">
        <v>0.03263888888888889</v>
      </c>
      <c r="H161" s="4">
        <v>0.5895833333333333</v>
      </c>
      <c r="I161" s="5">
        <v>0.5569444444444445</v>
      </c>
      <c r="J161" s="4"/>
      <c r="K161" s="4">
        <v>0.5833333333333334</v>
      </c>
      <c r="L161" s="5">
        <f>IF(J161&gt;0,MOD(K161-J161,1),"")</f>
        <v>0.5402777777777777</v>
      </c>
      <c r="M161" s="5">
        <v>0.06875000000000001</v>
      </c>
      <c r="N161" s="5">
        <v>0.5402777777777777</v>
      </c>
      <c r="O161" s="3">
        <v>0</v>
      </c>
      <c r="P161" s="3">
        <v>0</v>
      </c>
      <c r="Q161" s="3" t="s">
        <v>24</v>
      </c>
      <c r="R161" s="3" t="s">
        <v>24</v>
      </c>
      <c r="S161" s="5">
        <f>_xlfn.IFS(F161="2C1",I161,F161="3C1",I161*0.666666666667,F161="3C2",I161*0.333333333333,F161="3CX","",F161="4C1",I161*0.5,F161="4C2",I161*0.5,F161="4C3","",F161="4CR","",F161="2CR","",F161="2CO","",F161="4CX","",TRUE,"")</f>
        <v>0.27847222222222223</v>
      </c>
      <c r="T161" s="3"/>
    </row>
    <row r="162" spans="1:20">
      <c r="A162" s="2">
        <v>45304</v>
      </c>
      <c r="B162" s="3" t="s">
        <v>19</v>
      </c>
      <c r="C162" s="3" t="s">
        <v>20</v>
      </c>
      <c r="D162" s="3" t="s">
        <v>21</v>
      </c>
      <c r="E162" s="3" t="s">
        <v>28</v>
      </c>
      <c r="F162" s="3" t="s">
        <v>46</v>
      </c>
      <c r="G162" s="4">
        <v>0.9763888888888889</v>
      </c>
      <c r="H162" s="4">
        <v>0.08333333333333333</v>
      </c>
      <c r="I162" s="5">
        <v>0.1069444444444444</v>
      </c>
      <c r="J162" s="4"/>
      <c r="K162" s="4">
        <v>0.07777777777777778</v>
      </c>
      <c r="L162" s="5">
        <f>IF(J162&gt;0,MOD(K162-J162,1),"")</f>
        <v>0.07083333333333333</v>
      </c>
      <c r="M162" s="5">
        <v>0</v>
      </c>
      <c r="N162" s="5">
        <v>0.06944444444444445</v>
      </c>
      <c r="O162" s="3">
        <v>0</v>
      </c>
      <c r="P162" s="3">
        <v>0</v>
      </c>
      <c r="Q162" s="3" t="s">
        <v>24</v>
      </c>
      <c r="R162" s="3" t="s">
        <v>24</v>
      </c>
      <c r="S162" s="5">
        <f>_xlfn.IFS(F162="2C1",I162,F162="3C1",I162*0.666666666667,F162="3C2",I162*0.333333333333,F162="3CX","",F162="4C1",I162*0.5,F162="4C2",I162*0.5,F162="4C3","",F162="4CR","",F162="2CR","",F162="2CO","",F162="4CX","",TRUE,"")</f>
        <v>0.10694444444444444</v>
      </c>
      <c r="T162" s="3" t="s">
        <v>102</v>
      </c>
    </row>
    <row r="163" spans="1:20">
      <c r="A163" s="2">
        <v>45305</v>
      </c>
      <c r="B163" s="3" t="s">
        <v>26</v>
      </c>
      <c r="C163" s="3" t="s">
        <v>21</v>
      </c>
      <c r="D163" s="3" t="s">
        <v>20</v>
      </c>
      <c r="E163" s="3" t="s">
        <v>28</v>
      </c>
      <c r="F163" s="3" t="s">
        <v>46</v>
      </c>
      <c r="G163" s="4">
        <v>0.1395833333333333</v>
      </c>
      <c r="H163" s="4">
        <v>0.25625</v>
      </c>
      <c r="I163" s="5">
        <v>0.1166666666666667</v>
      </c>
      <c r="J163" s="4"/>
      <c r="K163" s="4">
        <v>0.2465277777777778</v>
      </c>
      <c r="L163" s="5">
        <f>IF(J163&gt;0,MOD(K163-J163,1),"")</f>
        <v>0.08958333333333333</v>
      </c>
      <c r="M163" s="5">
        <v>0</v>
      </c>
      <c r="N163" s="5">
        <v>0.08680555555555555</v>
      </c>
      <c r="O163" s="3">
        <v>1</v>
      </c>
      <c r="P163" s="3">
        <v>1</v>
      </c>
      <c r="Q163" s="3" t="s">
        <v>24</v>
      </c>
      <c r="R163" s="3" t="s">
        <v>24</v>
      </c>
      <c r="S163" s="5">
        <f>_xlfn.IFS(F163="2C1",I163,F163="3C1",I163*0.666666666667,F163="3C2",I163*0.333333333333,F163="3CX","",F163="4C1",I163*0.5,F163="4C2",I163*0.5,F163="4C3","",F163="4CR","",F163="2CR","",F163="2CO","",F163="4CX","",TRUE,"")</f>
        <v>0.11666666666666667</v>
      </c>
      <c r="T163" s="3"/>
    </row>
    <row r="164" spans="1:20">
      <c r="A164" s="2">
        <v>45310</v>
      </c>
      <c r="B164" s="3" t="s">
        <v>103</v>
      </c>
      <c r="C164" s="3" t="s">
        <v>20</v>
      </c>
      <c r="D164" s="3" t="s">
        <v>104</v>
      </c>
      <c r="E164" s="3" t="s">
        <v>32</v>
      </c>
      <c r="F164" s="3" t="s">
        <v>71</v>
      </c>
      <c r="G164" s="4">
        <v>0.6243055555555556</v>
      </c>
      <c r="H164" s="4">
        <v>0.9395833333333333</v>
      </c>
      <c r="I164" s="5">
        <v>0.3152777777777778</v>
      </c>
      <c r="J164" s="4"/>
      <c r="K164" s="4">
        <v>0.9347222222222222</v>
      </c>
      <c r="L164" s="5">
        <f>IF(J164&gt;0,MOD(K164-J164,1),"")</f>
        <v>0.2965277777777778</v>
      </c>
      <c r="M164" s="5">
        <v>0.2715277777777778</v>
      </c>
      <c r="N164" s="5">
        <v>0.2951388888888889</v>
      </c>
      <c r="O164" s="3">
        <v>1</v>
      </c>
      <c r="P164" s="3">
        <v>1</v>
      </c>
      <c r="Q164" s="3" t="s">
        <v>24</v>
      </c>
      <c r="R164" s="3" t="s">
        <v>24</v>
      </c>
      <c r="S164" s="5">
        <f>_xlfn.IFS(F164="2C1",I164,F164="3C1",I164*0.666666666667,F164="3C2",I164*0.333333333333,F164="3CX","",F164="4C1",I164*0.5,F164="4C2",I164*0.5,F164="4C3","",F164="4CR","",F164="2CR","",F164="2CO","",F164="4CX","",TRUE,"")</f>
        <v>0.2101851851851852</v>
      </c>
      <c r="T164" s="3" t="s">
        <v>105</v>
      </c>
    </row>
    <row r="165" spans="1:20">
      <c r="A165" s="2">
        <v>45313</v>
      </c>
      <c r="B165" s="3" t="s">
        <v>106</v>
      </c>
      <c r="C165" s="3" t="s">
        <v>104</v>
      </c>
      <c r="D165" s="3" t="s">
        <v>20</v>
      </c>
      <c r="E165" s="3" t="s">
        <v>28</v>
      </c>
      <c r="F165" s="3" t="s">
        <v>58</v>
      </c>
      <c r="G165" s="4">
        <v>0.01597222222222222</v>
      </c>
      <c r="H165" s="4">
        <v>0.5048611111111111</v>
      </c>
      <c r="I165" s="5">
        <v>0.4888888888888889</v>
      </c>
      <c r="J165" s="4"/>
      <c r="K165" s="4">
        <v>0.4958333333333333</v>
      </c>
      <c r="L165" s="5">
        <f>IF(J165&gt;0,MOD(K165-J165,1),"")</f>
        <v>0.4666666666666667</v>
      </c>
      <c r="M165" s="5">
        <v>0</v>
      </c>
      <c r="N165" s="5">
        <v>0.4652777777777778</v>
      </c>
      <c r="O165" s="3">
        <v>0</v>
      </c>
      <c r="P165" s="3">
        <v>0</v>
      </c>
      <c r="Q165" s="3" t="s">
        <v>24</v>
      </c>
      <c r="R165" s="3" t="s">
        <v>24</v>
      </c>
      <c r="S165" s="5">
        <f>_xlfn.IFS(F165="2C1",I165,F165="3C1",I165*0.666666666667,F165="3C2",I165*0.333333333333,F165="3CX","",F165="4C1",I165*0.5,F165="4C2",I165*0.5,F165="4C3","",F165="4CR","",F165="2CR","",F165="2CO","",F165="4CX","",TRUE,"")</f>
        <v>0.16296296296296295</v>
      </c>
      <c r="T165" s="3"/>
    </row>
    <row r="166" spans="1:20">
      <c r="A166" s="6" t="s">
        <v>36</v>
      </c>
      <c r="B166" s="6"/>
      <c r="C166" s="6"/>
      <c r="D166" s="6"/>
      <c r="E166" s="6"/>
      <c r="F166" s="6"/>
      <c r="G166" s="6"/>
      <c r="H166" s="6"/>
      <c r="I166" s="7">
        <f>SUM(I156:I165)</f>
        <v>4.127777777777778</v>
      </c>
      <c r="J166" s="8"/>
      <c r="K166" s="8"/>
      <c r="L166" s="7">
        <f>SUM(L156:L165)</f>
        <v>3.904861111111111</v>
      </c>
      <c r="M166" s="7">
        <f>SUM(M156:M165)</f>
        <v>0.8194444444444444</v>
      </c>
      <c r="N166" s="7">
        <f>SUM(N156:N165)</f>
        <v>3.884027777777778</v>
      </c>
      <c r="O166" s="8">
        <f>SUM(O156:O165)</f>
        <v>5</v>
      </c>
      <c r="P166" s="8">
        <f>SUM(P156:P165)</f>
        <v>5</v>
      </c>
      <c r="Q166" s="8"/>
      <c r="R166" s="8"/>
      <c r="S166" s="7">
        <f>SUM(S156:S165)</f>
        <v>2.1465277777777776</v>
      </c>
      <c r="T166" s="8"/>
    </row>
    <row r="167" spans="1:20">
      <c r="A167" s="6" t="s">
        <v>37</v>
      </c>
      <c r="B167" s="6"/>
      <c r="C167" s="6"/>
      <c r="D167" s="6"/>
      <c r="E167" s="6"/>
      <c r="F167" s="6"/>
      <c r="G167" s="6"/>
      <c r="H167" s="6"/>
      <c r="I167" s="7">
        <v>575.4152777777778</v>
      </c>
      <c r="J167" s="8"/>
      <c r="K167" s="8"/>
      <c r="L167" s="7"/>
      <c r="M167" s="7">
        <v>210.3104166666667</v>
      </c>
      <c r="N167" s="7">
        <v>427.8013888888889</v>
      </c>
      <c r="O167" s="8">
        <v>1756</v>
      </c>
      <c r="P167" s="8">
        <v>1762</v>
      </c>
      <c r="Q167" s="8"/>
      <c r="R167" s="8"/>
      <c r="S167" s="7">
        <v>266.0319444444444</v>
      </c>
      <c r="T167" s="8"/>
    </row>
    <row r="168" spans="1:20">
      <c r="A168" s="6" t="s">
        <v>38</v>
      </c>
      <c r="B168" s="6"/>
      <c r="C168" s="6"/>
      <c r="D168" s="6"/>
      <c r="E168" s="6"/>
      <c r="F168" s="6"/>
      <c r="G168" s="6"/>
      <c r="H168" s="6"/>
      <c r="I168" s="7">
        <v>579.5430555555556</v>
      </c>
      <c r="J168" s="8"/>
      <c r="K168" s="8"/>
      <c r="L168" s="7"/>
      <c r="M168" s="7">
        <v>211.1298611111111</v>
      </c>
      <c r="N168" s="7">
        <v>431.6854166666666</v>
      </c>
      <c r="O168" s="8">
        <v>1761</v>
      </c>
      <c r="P168" s="8">
        <v>1767</v>
      </c>
      <c r="Q168" s="8"/>
      <c r="R168" s="8"/>
      <c r="S168" s="7">
        <v>268.1784722222222</v>
      </c>
      <c r="T168" s="8"/>
    </row>
    <row r="177" spans="1:20">
      <c r="A177" s="1" t="s">
        <v>0</v>
      </c>
      <c r="B177" s="1" t="s">
        <v>1</v>
      </c>
      <c r="C177" s="1" t="s">
        <v>2</v>
      </c>
      <c r="D177" s="1" t="s">
        <v>3</v>
      </c>
      <c r="E177" s="1" t="s">
        <v>4</v>
      </c>
      <c r="F177" s="1" t="s">
        <v>5</v>
      </c>
      <c r="G177" s="1" t="s">
        <v>6</v>
      </c>
      <c r="H177" s="1" t="s">
        <v>7</v>
      </c>
      <c r="I177" s="1" t="s">
        <v>8</v>
      </c>
      <c r="J177" s="1" t="s">
        <v>3</v>
      </c>
      <c r="K177" s="1" t="s">
        <v>9</v>
      </c>
      <c r="L177" s="1" t="s">
        <v>10</v>
      </c>
      <c r="M177" s="1" t="s">
        <v>11</v>
      </c>
      <c r="N177" s="1" t="s">
        <v>12</v>
      </c>
      <c r="O177" s="1" t="s">
        <v>13</v>
      </c>
      <c r="P177" s="1" t="s">
        <v>14</v>
      </c>
      <c r="Q177" s="1" t="s">
        <v>15</v>
      </c>
      <c r="R177" s="1" t="s">
        <v>16</v>
      </c>
      <c r="S177" s="1" t="s">
        <v>17</v>
      </c>
      <c r="T177" s="1" t="s">
        <v>18</v>
      </c>
    </row>
    <row r="178" spans="1:20">
      <c r="A178" s="2">
        <v>45315</v>
      </c>
      <c r="B178" s="3" t="s">
        <v>39</v>
      </c>
      <c r="C178" s="3" t="s">
        <v>20</v>
      </c>
      <c r="D178" s="3" t="s">
        <v>40</v>
      </c>
      <c r="E178" s="3" t="s">
        <v>50</v>
      </c>
      <c r="F178" s="3" t="s">
        <v>97</v>
      </c>
      <c r="G178" s="4"/>
      <c r="H178" s="4"/>
      <c r="I178" s="5"/>
      <c r="J178" s="4"/>
      <c r="K178" s="4"/>
      <c r="L178" s="5">
        <f>IF(J178&gt;0,MOD(K178-J178,1),"")</f>
        <v/>
      </c>
      <c r="M178" s="5">
        <v>0</v>
      </c>
      <c r="N178" s="5">
        <v>0</v>
      </c>
      <c r="O178" s="3">
        <v>0</v>
      </c>
      <c r="P178" s="3">
        <v>0</v>
      </c>
      <c r="Q178" s="3" t="s">
        <v>24</v>
      </c>
      <c r="R178" s="3" t="s">
        <v>24</v>
      </c>
      <c r="S178" s="5">
        <f>_xlfn.IFS(F178="2C1",I178,F178="3C1",I178*0.666666666667,F178="3C2",I178*0.333333333333,F178="3CX","",F178="4C1",I178*0.5,F178="4C2",I178*0.5,F178="4C3","",F178="4CR","",F178="2CR","",F178="2CO","",F178="4CX","",TRUE,"")</f>
        <v/>
      </c>
      <c r="T178" s="3" t="s">
        <v>107</v>
      </c>
    </row>
    <row r="179" spans="1:20">
      <c r="A179" s="2">
        <v>45318</v>
      </c>
      <c r="B179" s="3" t="s">
        <v>43</v>
      </c>
      <c r="C179" s="3" t="s">
        <v>40</v>
      </c>
      <c r="D179" s="3" t="s">
        <v>20</v>
      </c>
      <c r="E179" s="3" t="s">
        <v>50</v>
      </c>
      <c r="F179" s="3" t="s">
        <v>63</v>
      </c>
      <c r="G179" s="4">
        <v>0.2159722222222222</v>
      </c>
      <c r="H179" s="4">
        <v>0.8729166666666667</v>
      </c>
      <c r="I179" s="5">
        <v>0.6569444444444444</v>
      </c>
      <c r="J179" s="4"/>
      <c r="K179" s="4">
        <v>0.8659722222222223</v>
      </c>
      <c r="L179" s="5">
        <f>IF(J179&gt;0,MOD(K179-J179,1),"")</f>
        <v>0.6263888888888889</v>
      </c>
      <c r="M179" s="5">
        <v>0.3520833333333334</v>
      </c>
      <c r="N179" s="5">
        <v>0.625</v>
      </c>
      <c r="O179" s="3">
        <v>0</v>
      </c>
      <c r="P179" s="3">
        <v>0</v>
      </c>
      <c r="Q179" s="3" t="s">
        <v>24</v>
      </c>
      <c r="R179" s="3" t="s">
        <v>24</v>
      </c>
      <c r="S179" s="5">
        <f>_xlfn.IFS(F179="2C1",I179,F179="3C1",I179*0.666666666667,F179="3C2",I179*0.333333333333,F179="3CX","",F179="4C1",I179*0.5,F179="4C2",I179*0.5,F179="4C3","",F179="4CR","",F179="2CR","",F179="2CO","",F179="4CX","",TRUE,"")</f>
        <v/>
      </c>
      <c r="T179" s="3"/>
    </row>
    <row r="180" spans="1:20">
      <c r="A180" s="2">
        <v>45322</v>
      </c>
      <c r="B180" s="3" t="s">
        <v>56</v>
      </c>
      <c r="C180" s="3" t="s">
        <v>20</v>
      </c>
      <c r="D180" s="3" t="s">
        <v>57</v>
      </c>
      <c r="E180" s="3" t="s">
        <v>32</v>
      </c>
      <c r="F180" s="3" t="s">
        <v>48</v>
      </c>
      <c r="G180" s="4">
        <v>0.2076388888888889</v>
      </c>
      <c r="H180" s="4">
        <v>0.6458333333333334</v>
      </c>
      <c r="I180" s="5">
        <v>0.4381944444444444</v>
      </c>
      <c r="J180" s="4"/>
      <c r="K180" s="4">
        <v>0.6368055555555555</v>
      </c>
      <c r="L180" s="5">
        <f>IF(J180&gt;0,MOD(K180-J180,1),"")</f>
        <v>0.41805555555555557</v>
      </c>
      <c r="M180" s="5">
        <v>0.125</v>
      </c>
      <c r="N180" s="5">
        <v>0</v>
      </c>
      <c r="O180" s="3">
        <v>0</v>
      </c>
      <c r="P180" s="3">
        <v>0</v>
      </c>
      <c r="Q180" s="3" t="s">
        <v>24</v>
      </c>
      <c r="R180" s="3" t="s">
        <v>24</v>
      </c>
      <c r="S180" s="5">
        <f>_xlfn.IFS(F180="2C1",I180,F180="3C1",I180*0.666666666667,F180="3C2",I180*0.333333333333,F180="3CX","",F180="4C1",I180*0.5,F180="4C2",I180*0.5,F180="4C3","",F180="4CR","",F180="2CR","",F180="2CO","",F180="4CX","",TRUE,"")</f>
        <v>0.21909722222222222</v>
      </c>
      <c r="T180" s="3" t="s">
        <v>108</v>
      </c>
    </row>
    <row r="181" spans="1:20">
      <c r="A181" s="2">
        <v>45325</v>
      </c>
      <c r="B181" s="3" t="s">
        <v>60</v>
      </c>
      <c r="C181" s="3" t="s">
        <v>57</v>
      </c>
      <c r="D181" s="3" t="s">
        <v>20</v>
      </c>
      <c r="E181" s="3" t="s">
        <v>44</v>
      </c>
      <c r="F181" s="3" t="s">
        <v>48</v>
      </c>
      <c r="G181" s="4">
        <v>0.9020833333333333</v>
      </c>
      <c r="H181" s="4">
        <v>0.4534722222222222</v>
      </c>
      <c r="I181" s="5">
        <v>0.5513888888888889</v>
      </c>
      <c r="J181" s="4"/>
      <c r="K181" s="4">
        <v>0.4416666666666667</v>
      </c>
      <c r="L181" s="5">
        <f>IF(J181&gt;0,MOD(K181-J181,1),"")</f>
        <v>0.5215277777777778</v>
      </c>
      <c r="M181" s="5">
        <v>0</v>
      </c>
      <c r="N181" s="5">
        <v>0.5208333333333334</v>
      </c>
      <c r="O181" s="3">
        <v>0</v>
      </c>
      <c r="P181" s="3">
        <v>0</v>
      </c>
      <c r="Q181" s="3" t="s">
        <v>24</v>
      </c>
      <c r="R181" s="3" t="s">
        <v>24</v>
      </c>
      <c r="S181" s="5">
        <f>_xlfn.IFS(F181="2C1",I181,F181="3C1",I181*0.666666666667,F181="3C2",I181*0.333333333333,F181="3CX","",F181="4C1",I181*0.5,F181="4C2",I181*0.5,F181="4C3","",F181="4CR","",F181="2CR","",F181="2CO","",F181="4CX","",TRUE,"")</f>
        <v>0.27569444444444446</v>
      </c>
      <c r="T181" s="3"/>
    </row>
    <row r="182" spans="1:20">
      <c r="A182" s="2">
        <v>45329</v>
      </c>
      <c r="B182" s="3" t="s">
        <v>103</v>
      </c>
      <c r="C182" s="3" t="s">
        <v>20</v>
      </c>
      <c r="D182" s="3" t="s">
        <v>104</v>
      </c>
      <c r="E182" s="3" t="s">
        <v>22</v>
      </c>
      <c r="F182" s="3" t="s">
        <v>71</v>
      </c>
      <c r="G182" s="4">
        <v>0.5638888888888889</v>
      </c>
      <c r="H182" s="4">
        <v>0.8916666666666667</v>
      </c>
      <c r="I182" s="5">
        <v>0.3277777777777778</v>
      </c>
      <c r="J182" s="4"/>
      <c r="K182" s="4">
        <v>0.8881944444444444</v>
      </c>
      <c r="L182" s="5">
        <f>IF(J182&gt;0,MOD(K182-J182,1),"")</f>
        <v>0.28958333333333336</v>
      </c>
      <c r="M182" s="5">
        <v>0.3319444444444444</v>
      </c>
      <c r="N182" s="5">
        <v>0.2881944444444444</v>
      </c>
      <c r="O182" s="3">
        <v>1</v>
      </c>
      <c r="P182" s="3">
        <v>1</v>
      </c>
      <c r="Q182" s="3" t="s">
        <v>24</v>
      </c>
      <c r="R182" s="3" t="s">
        <v>24</v>
      </c>
      <c r="S182" s="5">
        <f>_xlfn.IFS(F182="2C1",I182,F182="3C1",I182*0.666666666667,F182="3C2",I182*0.333333333333,F182="3CX","",F182="4C1",I182*0.5,F182="4C2",I182*0.5,F182="4C3","",F182="4CR","",F182="2CR","",F182="2CO","",F182="4CX","",TRUE,"")</f>
        <v>0.21851851851851853</v>
      </c>
      <c r="T182" s="3" t="s">
        <v>109</v>
      </c>
    </row>
    <row r="183" spans="1:20">
      <c r="A183" s="2">
        <v>45332</v>
      </c>
      <c r="B183" s="3" t="s">
        <v>106</v>
      </c>
      <c r="C183" s="3" t="s">
        <v>104</v>
      </c>
      <c r="D183" s="3" t="s">
        <v>20</v>
      </c>
      <c r="E183" s="3" t="s">
        <v>28</v>
      </c>
      <c r="F183" s="3" t="s">
        <v>58</v>
      </c>
      <c r="G183" s="4">
        <v>0.01736111111111111</v>
      </c>
      <c r="H183" s="4">
        <v>0.4819444444444445</v>
      </c>
      <c r="I183" s="5">
        <v>0.4645833333333333</v>
      </c>
      <c r="J183" s="4"/>
      <c r="K183" s="4">
        <v>0.4756944444444444</v>
      </c>
      <c r="L183" s="5">
        <f>IF(J183&gt;0,MOD(K183-J183,1),"")</f>
        <v>0.4444444444444444</v>
      </c>
      <c r="M183" s="5">
        <v>0</v>
      </c>
      <c r="N183" s="5">
        <v>0.4430555555555555</v>
      </c>
      <c r="O183" s="3">
        <v>0</v>
      </c>
      <c r="P183" s="3">
        <v>0</v>
      </c>
      <c r="Q183" s="3" t="s">
        <v>24</v>
      </c>
      <c r="R183" s="3" t="s">
        <v>24</v>
      </c>
      <c r="S183" s="5">
        <f>_xlfn.IFS(F183="2C1",I183,F183="3C1",I183*0.666666666667,F183="3C2",I183*0.333333333333,F183="3CX","",F183="4C1",I183*0.5,F183="4C2",I183*0.5,F183="4C3","",F183="4CR","",F183="2CR","",F183="2CO","",F183="4CX","",TRUE,"")</f>
        <v>0.15486111111111112</v>
      </c>
      <c r="T183" s="3"/>
    </row>
    <row r="184" spans="1:20">
      <c r="A184" s="2">
        <v>45334</v>
      </c>
      <c r="B184" s="3" t="s">
        <v>39</v>
      </c>
      <c r="C184" s="3" t="s">
        <v>20</v>
      </c>
      <c r="D184" s="3" t="s">
        <v>40</v>
      </c>
      <c r="E184" s="3" t="s">
        <v>28</v>
      </c>
      <c r="F184" s="3" t="s">
        <v>51</v>
      </c>
      <c r="G184" s="4">
        <v>0.5333333333333333</v>
      </c>
      <c r="H184" s="4">
        <v>0.1118055555555556</v>
      </c>
      <c r="I184" s="5">
        <v>0.5784722222222223</v>
      </c>
      <c r="J184" s="4"/>
      <c r="K184" s="4">
        <v>0.1041666666666667</v>
      </c>
      <c r="L184" s="5">
        <f>IF(J184&gt;0,MOD(K184-J184,1),"")</f>
        <v>0.5520833333333334</v>
      </c>
      <c r="M184" s="5">
        <v>0.3541666666666667</v>
      </c>
      <c r="N184" s="5">
        <v>0.5506944444444445</v>
      </c>
      <c r="O184" s="3">
        <v>0</v>
      </c>
      <c r="P184" s="3">
        <v>0</v>
      </c>
      <c r="Q184" s="3" t="s">
        <v>24</v>
      </c>
      <c r="R184" s="3" t="s">
        <v>24</v>
      </c>
      <c r="S184" s="5">
        <f>_xlfn.IFS(F184="2C1",I184,F184="3C1",I184*0.666666666667,F184="3C2",I184*0.333333333333,F184="3CX","",F184="4C1",I184*0.5,F184="4C2",I184*0.5,F184="4C3","",F184="4CR","",F184="2CR","",F184="2CO","",F184="4CX","",TRUE,"")</f>
        <v>0.28923611111111114</v>
      </c>
      <c r="T184" s="3" t="s">
        <v>110</v>
      </c>
    </row>
    <row r="185" spans="1:20">
      <c r="A185" s="2">
        <v>45337</v>
      </c>
      <c r="B185" s="3" t="s">
        <v>43</v>
      </c>
      <c r="C185" s="3" t="s">
        <v>40</v>
      </c>
      <c r="D185" s="3" t="s">
        <v>20</v>
      </c>
      <c r="E185" s="3" t="s">
        <v>50</v>
      </c>
      <c r="F185" s="3" t="s">
        <v>48</v>
      </c>
      <c r="G185" s="4">
        <v>0.1958333333333333</v>
      </c>
      <c r="H185" s="4">
        <v>0.8423611111111111</v>
      </c>
      <c r="I185" s="5">
        <v>0.6465277777777778</v>
      </c>
      <c r="J185" s="4"/>
      <c r="K185" s="4">
        <v>0.8354166666666667</v>
      </c>
      <c r="L185" s="5">
        <f>IF(J185&gt;0,MOD(K185-J185,1),"")</f>
        <v>0.6298611111111111</v>
      </c>
      <c r="M185" s="5">
        <v>0.3215277777777778</v>
      </c>
      <c r="N185" s="5">
        <v>0.6284722222222222</v>
      </c>
      <c r="O185" s="3">
        <v>0</v>
      </c>
      <c r="P185" s="3">
        <v>0</v>
      </c>
      <c r="Q185" s="3" t="s">
        <v>24</v>
      </c>
      <c r="R185" s="3" t="s">
        <v>24</v>
      </c>
      <c r="S185" s="5">
        <f>_xlfn.IFS(F185="2C1",I185,F185="3C1",I185*0.666666666667,F185="3C2",I185*0.333333333333,F185="3CX","",F185="4C1",I185*0.5,F185="4C2",I185*0.5,F185="4C3","",F185="4CR","",F185="2CR","",F185="2CO","",F185="4CX","",TRUE,"")</f>
        <v>0.3232638888888889</v>
      </c>
      <c r="T185" s="3"/>
    </row>
    <row r="186" spans="1:20">
      <c r="A186" s="2">
        <v>45342</v>
      </c>
      <c r="B186" s="3" t="s">
        <v>78</v>
      </c>
      <c r="C186" s="3" t="s">
        <v>20</v>
      </c>
      <c r="D186" s="3" t="s">
        <v>79</v>
      </c>
      <c r="E186" s="3" t="s">
        <v>28</v>
      </c>
      <c r="F186" s="3" t="s">
        <v>48</v>
      </c>
      <c r="G186" s="4">
        <v>0.1111111111111111</v>
      </c>
      <c r="H186" s="4">
        <v>0.6951388888888889</v>
      </c>
      <c r="I186" s="5">
        <v>0.5840277777777778</v>
      </c>
      <c r="J186" s="4"/>
      <c r="K186" s="4">
        <v>0.6895833333333333</v>
      </c>
      <c r="L186" s="5">
        <f>IF(J186&gt;0,MOD(K186-J186,1),"")</f>
        <v>0.5652777777777778</v>
      </c>
      <c r="M186" s="5">
        <v>0.1743055555555555</v>
      </c>
      <c r="N186" s="5">
        <v>0.5625</v>
      </c>
      <c r="O186" s="3">
        <v>0</v>
      </c>
      <c r="P186" s="3">
        <v>0</v>
      </c>
      <c r="Q186" s="3" t="s">
        <v>24</v>
      </c>
      <c r="R186" s="3" t="s">
        <v>24</v>
      </c>
      <c r="S186" s="5">
        <f>_xlfn.IFS(F186="2C1",I186,F186="3C1",I186*0.666666666667,F186="3C2",I186*0.333333333333,F186="3CX","",F186="4C1",I186*0.5,F186="4C2",I186*0.5,F186="4C3","",F186="4CR","",F186="2CR","",F186="2CO","",F186="4CX","",TRUE,"")</f>
        <v>0.2920138888888889</v>
      </c>
      <c r="T186" s="3" t="s">
        <v>111</v>
      </c>
    </row>
    <row r="187" spans="1:20">
      <c r="A187" s="2">
        <v>45344</v>
      </c>
      <c r="B187" s="3" t="s">
        <v>81</v>
      </c>
      <c r="C187" s="3" t="s">
        <v>79</v>
      </c>
      <c r="D187" s="3" t="s">
        <v>20</v>
      </c>
      <c r="E187" s="3" t="s">
        <v>22</v>
      </c>
      <c r="F187" s="3" t="s">
        <v>51</v>
      </c>
      <c r="G187" s="4">
        <v>0.8506944444444444</v>
      </c>
      <c r="H187" s="4">
        <v>0.3611111111111111</v>
      </c>
      <c r="I187" s="5">
        <v>0.5104166666666666</v>
      </c>
      <c r="J187" s="4"/>
      <c r="K187" s="4">
        <v>0.3527777777777778</v>
      </c>
      <c r="L187" s="5">
        <f>IF(J187&gt;0,MOD(K187-J187,1),"")</f>
        <v>0.49027777777777776</v>
      </c>
      <c r="M187" s="5">
        <v>0.04513888888888889</v>
      </c>
      <c r="N187" s="5">
        <v>0.4895833333333333</v>
      </c>
      <c r="O187" s="3">
        <v>0</v>
      </c>
      <c r="P187" s="3">
        <v>0</v>
      </c>
      <c r="Q187" s="3" t="s">
        <v>24</v>
      </c>
      <c r="R187" s="3" t="s">
        <v>24</v>
      </c>
      <c r="S187" s="5">
        <f>_xlfn.IFS(F187="2C1",I187,F187="3C1",I187*0.666666666667,F187="3C2",I187*0.333333333333,F187="3CX","",F187="4C1",I187*0.5,F187="4C2",I187*0.5,F187="4C3","",F187="4CR","",F187="2CR","",F187="2CO","",F187="4CX","",TRUE,"")</f>
        <v>0.2552083333333333</v>
      </c>
      <c r="T187" s="3"/>
    </row>
    <row r="188" spans="1:20">
      <c r="A188" s="6" t="s">
        <v>36</v>
      </c>
      <c r="B188" s="6"/>
      <c r="C188" s="6"/>
      <c r="D188" s="6"/>
      <c r="E188" s="6"/>
      <c r="F188" s="6"/>
      <c r="G188" s="6"/>
      <c r="H188" s="6"/>
      <c r="I188" s="7">
        <f>SUM(I178:I187)</f>
        <v>4.758333333333334</v>
      </c>
      <c r="J188" s="8"/>
      <c r="K188" s="8"/>
      <c r="L188" s="7">
        <f>SUM(L178:L187)</f>
        <v>4.5375</v>
      </c>
      <c r="M188" s="7">
        <f>SUM(M178:M187)</f>
        <v>1.7041666666666666</v>
      </c>
      <c r="N188" s="7">
        <f>SUM(N178:N187)</f>
        <v>4.108333333333333</v>
      </c>
      <c r="O188" s="8">
        <f>SUM(O178:O187)</f>
        <v>1</v>
      </c>
      <c r="P188" s="8">
        <f>SUM(P178:P187)</f>
        <v>1</v>
      </c>
      <c r="Q188" s="8"/>
      <c r="R188" s="8"/>
      <c r="S188" s="7">
        <f>SUM(S178:S187)</f>
        <v>2.0277777777777777</v>
      </c>
      <c r="T188" s="8"/>
    </row>
    <row r="189" spans="1:20">
      <c r="A189" s="6" t="s">
        <v>37</v>
      </c>
      <c r="B189" s="6"/>
      <c r="C189" s="6"/>
      <c r="D189" s="6"/>
      <c r="E189" s="6"/>
      <c r="F189" s="6"/>
      <c r="G189" s="6"/>
      <c r="H189" s="6"/>
      <c r="I189" s="7">
        <v>579.5430555555556</v>
      </c>
      <c r="J189" s="8"/>
      <c r="K189" s="8"/>
      <c r="L189" s="7"/>
      <c r="M189" s="7">
        <v>211.1298611111111</v>
      </c>
      <c r="N189" s="7">
        <v>431.6854166666666</v>
      </c>
      <c r="O189" s="8">
        <v>1761</v>
      </c>
      <c r="P189" s="8">
        <v>1767</v>
      </c>
      <c r="Q189" s="8"/>
      <c r="R189" s="8"/>
      <c r="S189" s="7">
        <v>268.1784722222222</v>
      </c>
      <c r="T189" s="8"/>
    </row>
    <row r="190" spans="1:20">
      <c r="A190" s="6" t="s">
        <v>38</v>
      </c>
      <c r="B190" s="6"/>
      <c r="C190" s="6"/>
      <c r="D190" s="6"/>
      <c r="E190" s="6"/>
      <c r="F190" s="6"/>
      <c r="G190" s="6"/>
      <c r="H190" s="6"/>
      <c r="I190" s="7">
        <v>584.3013888888889</v>
      </c>
      <c r="J190" s="8"/>
      <c r="K190" s="8"/>
      <c r="L190" s="7"/>
      <c r="M190" s="7">
        <v>212.8340277777778</v>
      </c>
      <c r="N190" s="7">
        <v>435.79375</v>
      </c>
      <c r="O190" s="8">
        <v>1762</v>
      </c>
      <c r="P190" s="8">
        <v>1768</v>
      </c>
      <c r="Q190" s="8"/>
      <c r="R190" s="8"/>
      <c r="S190" s="7">
        <v>270.20625</v>
      </c>
      <c r="T190" s="8"/>
    </row>
    <row r="199" spans="1:20">
      <c r="A199" s="1" t="s">
        <v>0</v>
      </c>
      <c r="B199" s="1" t="s">
        <v>1</v>
      </c>
      <c r="C199" s="1" t="s">
        <v>2</v>
      </c>
      <c r="D199" s="1" t="s">
        <v>3</v>
      </c>
      <c r="E199" s="1" t="s">
        <v>4</v>
      </c>
      <c r="F199" s="1" t="s">
        <v>5</v>
      </c>
      <c r="G199" s="1" t="s">
        <v>6</v>
      </c>
      <c r="H199" s="1" t="s">
        <v>7</v>
      </c>
      <c r="I199" s="1" t="s">
        <v>8</v>
      </c>
      <c r="J199" s="1" t="s">
        <v>3</v>
      </c>
      <c r="K199" s="1" t="s">
        <v>9</v>
      </c>
      <c r="L199" s="1" t="s">
        <v>10</v>
      </c>
      <c r="M199" s="1" t="s">
        <v>11</v>
      </c>
      <c r="N199" s="1" t="s">
        <v>12</v>
      </c>
      <c r="O199" s="1" t="s">
        <v>13</v>
      </c>
      <c r="P199" s="1" t="s">
        <v>14</v>
      </c>
      <c r="Q199" s="1" t="s">
        <v>15</v>
      </c>
      <c r="R199" s="1" t="s">
        <v>16</v>
      </c>
      <c r="S199" s="1" t="s">
        <v>17</v>
      </c>
      <c r="T199" s="1" t="s">
        <v>18</v>
      </c>
    </row>
    <row r="200" spans="1:20">
      <c r="A200" s="2">
        <v>45347</v>
      </c>
      <c r="B200" s="3" t="s">
        <v>103</v>
      </c>
      <c r="C200" s="3" t="s">
        <v>20</v>
      </c>
      <c r="D200" s="3" t="s">
        <v>104</v>
      </c>
      <c r="E200" s="3" t="s">
        <v>32</v>
      </c>
      <c r="F200" s="3" t="s">
        <v>71</v>
      </c>
      <c r="G200" s="4">
        <v>0.5618055555555556</v>
      </c>
      <c r="H200" s="4">
        <v>0.8958333333333334</v>
      </c>
      <c r="I200" s="5">
        <v>0.3340277777777778</v>
      </c>
      <c r="J200" s="4"/>
      <c r="K200" s="4">
        <v>0.8916666666666667</v>
      </c>
      <c r="L200" s="5">
        <f>IF(J200&gt;0,MOD(K200-J200,1),"")</f>
        <v>0.31666666666666665</v>
      </c>
      <c r="M200" s="5">
        <v>0.3340277777777778</v>
      </c>
      <c r="N200" s="5">
        <v>0.3125</v>
      </c>
      <c r="O200" s="3">
        <v>1</v>
      </c>
      <c r="P200" s="3">
        <v>1</v>
      </c>
      <c r="Q200" s="3" t="s">
        <v>24</v>
      </c>
      <c r="R200" s="3" t="s">
        <v>24</v>
      </c>
      <c r="S200" s="5">
        <f>_xlfn.IFS(F200="2C1",I200,F200="3C1",I200*0.666666666667,F200="3C2",I200*0.333333333333,F200="3CX","",F200="4C1",I200*0.5,F200="4C2",I200*0.5,F200="4C3","",F200="4CR","",F200="2CR","",F200="2CO","",F200="4CX","",TRUE,"")</f>
        <v>0.2226851851851852</v>
      </c>
      <c r="T200" s="3" t="s">
        <v>112</v>
      </c>
    </row>
    <row r="201" spans="1:20">
      <c r="A201" s="2">
        <v>45349</v>
      </c>
      <c r="B201" s="3" t="s">
        <v>106</v>
      </c>
      <c r="C201" s="3" t="s">
        <v>104</v>
      </c>
      <c r="D201" s="3" t="s">
        <v>20</v>
      </c>
      <c r="E201" s="3" t="s">
        <v>32</v>
      </c>
      <c r="F201" s="3" t="s">
        <v>58</v>
      </c>
      <c r="G201" s="4">
        <v>0.01597222222222222</v>
      </c>
      <c r="H201" s="4">
        <v>0.4347222222222222</v>
      </c>
      <c r="I201" s="5">
        <v>0.41875</v>
      </c>
      <c r="J201" s="4"/>
      <c r="K201" s="4">
        <v>0.4291666666666666</v>
      </c>
      <c r="L201" s="5">
        <f>IF(J201&gt;0,MOD(K201-J201,1),"")</f>
        <v>0.40069444444444446</v>
      </c>
      <c r="M201" s="5">
        <v>0</v>
      </c>
      <c r="N201" s="5">
        <v>0.3958333333333333</v>
      </c>
      <c r="O201" s="3">
        <v>0</v>
      </c>
      <c r="P201" s="3">
        <v>0</v>
      </c>
      <c r="Q201" s="3" t="s">
        <v>24</v>
      </c>
      <c r="R201" s="3" t="s">
        <v>24</v>
      </c>
      <c r="S201" s="5">
        <f>_xlfn.IFS(F201="2C1",I201,F201="3C1",I201*0.666666666667,F201="3C2",I201*0.333333333333,F201="3CX","",F201="4C1",I201*0.5,F201="4C2",I201*0.5,F201="4C3","",F201="4CR","",F201="2CR","",F201="2CO","",F201="4CX","",TRUE,"")</f>
        <v>0.13958333333333334</v>
      </c>
      <c r="T201" s="3"/>
    </row>
    <row r="202" spans="1:20">
      <c r="A202" s="2">
        <v>45354</v>
      </c>
      <c r="B202" s="3" t="s">
        <v>56</v>
      </c>
      <c r="C202" s="3" t="s">
        <v>20</v>
      </c>
      <c r="D202" s="3" t="s">
        <v>57</v>
      </c>
      <c r="E202" s="3" t="s">
        <v>44</v>
      </c>
      <c r="F202" s="3" t="s">
        <v>51</v>
      </c>
      <c r="G202" s="4">
        <v>0.1861111111111111</v>
      </c>
      <c r="H202" s="4">
        <v>0.6395833333333333</v>
      </c>
      <c r="I202" s="5">
        <v>0.4534722222222222</v>
      </c>
      <c r="J202" s="4"/>
      <c r="K202" s="4">
        <v>0.6298611111111111</v>
      </c>
      <c r="L202" s="5">
        <f>IF(J202&gt;0,MOD(K202-J202,1),"")</f>
        <v>0.4270833333333333</v>
      </c>
      <c r="M202" s="5">
        <v>0.11875</v>
      </c>
      <c r="N202" s="5">
        <v>0.4166666666666667</v>
      </c>
      <c r="O202" s="3">
        <v>0</v>
      </c>
      <c r="P202" s="3">
        <v>0</v>
      </c>
      <c r="Q202" s="3" t="s">
        <v>24</v>
      </c>
      <c r="R202" s="3" t="s">
        <v>24</v>
      </c>
      <c r="S202" s="5">
        <f>_xlfn.IFS(F202="2C1",I202,F202="3C1",I202*0.666666666667,F202="3C2",I202*0.333333333333,F202="3CX","",F202="4C1",I202*0.5,F202="4C2",I202*0.5,F202="4C3","",F202="4CR","",F202="2CR","",F202="2CO","",F202="4CX","",TRUE,"")</f>
        <v>0.2267361111111111</v>
      </c>
      <c r="T202" s="3" t="s">
        <v>113</v>
      </c>
    </row>
    <row r="203" spans="1:20">
      <c r="A203" s="2">
        <v>45356</v>
      </c>
      <c r="B203" s="3" t="s">
        <v>60</v>
      </c>
      <c r="C203" s="3" t="s">
        <v>57</v>
      </c>
      <c r="D203" s="3" t="s">
        <v>20</v>
      </c>
      <c r="E203" s="3" t="s">
        <v>50</v>
      </c>
      <c r="F203" s="3" t="s">
        <v>48</v>
      </c>
      <c r="G203" s="4">
        <v>0.7388888888888889</v>
      </c>
      <c r="H203" s="4">
        <v>0.2881944444444444</v>
      </c>
      <c r="I203" s="5">
        <v>0.5493055555555556</v>
      </c>
      <c r="J203" s="4"/>
      <c r="K203" s="4">
        <v>0.2819444444444444</v>
      </c>
      <c r="L203" s="5">
        <f>IF(J203&gt;0,MOD(K203-J203,1),"")</f>
        <v>0.5256944444444445</v>
      </c>
      <c r="M203" s="5">
        <v>0.1569444444444444</v>
      </c>
      <c r="N203" s="5">
        <v>0.5243055555555556</v>
      </c>
      <c r="O203" s="3">
        <v>0</v>
      </c>
      <c r="P203" s="3">
        <v>0</v>
      </c>
      <c r="Q203" s="3" t="s">
        <v>24</v>
      </c>
      <c r="R203" s="3" t="s">
        <v>24</v>
      </c>
      <c r="S203" s="5">
        <f>_xlfn.IFS(F203="2C1",I203,F203="3C1",I203*0.666666666667,F203="3C2",I203*0.333333333333,F203="3CX","",F203="4C1",I203*0.5,F203="4C2",I203*0.5,F203="4C3","",F203="4CR","",F203="2CR","",F203="2CO","",F203="4CX","",TRUE,"")</f>
        <v>0.2746527777777778</v>
      </c>
      <c r="T203" s="3"/>
    </row>
    <row r="204" spans="1:20">
      <c r="A204" s="2">
        <v>45368</v>
      </c>
      <c r="B204" s="3" t="s">
        <v>39</v>
      </c>
      <c r="C204" s="3" t="s">
        <v>20</v>
      </c>
      <c r="D204" s="3" t="s">
        <v>40</v>
      </c>
      <c r="E204" s="3" t="s">
        <v>22</v>
      </c>
      <c r="F204" s="3" t="s">
        <v>51</v>
      </c>
      <c r="G204" s="4">
        <v>0.5347222222222222</v>
      </c>
      <c r="H204" s="4">
        <v>0.09166666666666666</v>
      </c>
      <c r="I204" s="5">
        <v>0.5569444444444445</v>
      </c>
      <c r="J204" s="4"/>
      <c r="K204" s="4">
        <v>0.08611111111111111</v>
      </c>
      <c r="L204" s="5">
        <f>IF(J204&gt;0,MOD(K204-J204,1),"")</f>
        <v>0.5395833333333333</v>
      </c>
      <c r="M204" s="5">
        <v>0.3541666666666667</v>
      </c>
      <c r="N204" s="5">
        <v>0.5381944444444444</v>
      </c>
      <c r="O204" s="3">
        <v>1</v>
      </c>
      <c r="P204" s="3">
        <v>1</v>
      </c>
      <c r="Q204" s="3" t="s">
        <v>24</v>
      </c>
      <c r="R204" s="3" t="s">
        <v>24</v>
      </c>
      <c r="S204" s="5">
        <f>_xlfn.IFS(F204="2C1",I204,F204="3C1",I204*0.666666666667,F204="3C2",I204*0.333333333333,F204="3CX","",F204="4C1",I204*0.5,F204="4C2",I204*0.5,F204="4C3","",F204="4CR","",F204="2CR","",F204="2CO","",F204="4CX","",TRUE,"")</f>
        <v>0.27847222222222223</v>
      </c>
      <c r="T204" s="3" t="s">
        <v>114</v>
      </c>
    </row>
    <row r="205" spans="1:20">
      <c r="A205" s="2">
        <v>45370</v>
      </c>
      <c r="B205" s="3" t="s">
        <v>43</v>
      </c>
      <c r="C205" s="3" t="s">
        <v>40</v>
      </c>
      <c r="D205" s="3" t="s">
        <v>20</v>
      </c>
      <c r="E205" s="3" t="s">
        <v>44</v>
      </c>
      <c r="F205" s="3" t="s">
        <v>97</v>
      </c>
      <c r="G205" s="4"/>
      <c r="H205" s="4"/>
      <c r="I205" s="5"/>
      <c r="J205" s="4"/>
      <c r="K205" s="4"/>
      <c r="L205" s="5">
        <f>IF(J205&gt;0,MOD(K205-J205,1),"")</f>
        <v/>
      </c>
      <c r="M205" s="5">
        <v>0</v>
      </c>
      <c r="N205" s="5">
        <v>0</v>
      </c>
      <c r="O205" s="3">
        <v>0</v>
      </c>
      <c r="P205" s="3">
        <v>0</v>
      </c>
      <c r="Q205" s="3" t="s">
        <v>24</v>
      </c>
      <c r="R205" s="3" t="s">
        <v>24</v>
      </c>
      <c r="S205" s="5">
        <f>_xlfn.IFS(F205="2C1",I205,F205="3C1",I205*0.666666666667,F205="3C2",I205*0.333333333333,F205="3CX","",F205="4C1",I205*0.5,F205="4C2",I205*0.5,F205="4C3","",F205="4CR","",F205="2CR","",F205="2CO","",F205="4CX","",TRUE,"")</f>
        <v/>
      </c>
      <c r="T205" s="3"/>
    </row>
    <row r="206" spans="1:20">
      <c r="A206" s="2">
        <v>45377</v>
      </c>
      <c r="B206" s="3" t="s">
        <v>78</v>
      </c>
      <c r="C206" s="3" t="s">
        <v>20</v>
      </c>
      <c r="D206" s="3" t="s">
        <v>79</v>
      </c>
      <c r="E206" s="3" t="s">
        <v>28</v>
      </c>
      <c r="F206" s="3" t="s">
        <v>48</v>
      </c>
      <c r="G206" s="4">
        <v>0.1152777777777778</v>
      </c>
      <c r="H206" s="4">
        <v>0.7131944444444445</v>
      </c>
      <c r="I206" s="5">
        <v>0.5979166666666667</v>
      </c>
      <c r="J206" s="4"/>
      <c r="K206" s="4">
        <v>0.7097222222222223</v>
      </c>
      <c r="L206" s="5">
        <f>IF(J206&gt;0,MOD(K206-J206,1),"")</f>
        <v>0.58125</v>
      </c>
      <c r="M206" s="5">
        <v>0.1923611111111111</v>
      </c>
      <c r="N206" s="5">
        <v>0.5798611111111112</v>
      </c>
      <c r="O206" s="3">
        <v>0</v>
      </c>
      <c r="P206" s="3">
        <v>0</v>
      </c>
      <c r="Q206" s="3" t="s">
        <v>24</v>
      </c>
      <c r="R206" s="3" t="s">
        <v>24</v>
      </c>
      <c r="S206" s="5">
        <f>_xlfn.IFS(F206="2C1",I206,F206="3C1",I206*0.666666666667,F206="3C2",I206*0.333333333333,F206="3CX","",F206="4C1",I206*0.5,F206="4C2",I206*0.5,F206="4C3","",F206="4CR","",F206="2CR","",F206="2CO","",F206="4CX","",TRUE,"")</f>
        <v>0.2989583333333333</v>
      </c>
      <c r="T206" s="3" t="s">
        <v>115</v>
      </c>
    </row>
    <row r="207" spans="1:20">
      <c r="A207" s="2">
        <v>45379</v>
      </c>
      <c r="B207" s="3" t="s">
        <v>81</v>
      </c>
      <c r="C207" s="3" t="s">
        <v>79</v>
      </c>
      <c r="D207" s="3" t="s">
        <v>20</v>
      </c>
      <c r="E207" s="3" t="s">
        <v>28</v>
      </c>
      <c r="F207" s="3" t="s">
        <v>51</v>
      </c>
      <c r="G207" s="4">
        <v>0.7701388888888889</v>
      </c>
      <c r="H207" s="4">
        <v>0.2819444444444444</v>
      </c>
      <c r="I207" s="5">
        <v>0.5118055555555555</v>
      </c>
      <c r="J207" s="4"/>
      <c r="K207" s="4">
        <v>0.2694444444444444</v>
      </c>
      <c r="L207" s="5">
        <f>IF(J207&gt;0,MOD(K207-J207,1),"")</f>
        <v>0.48333333333333334</v>
      </c>
      <c r="M207" s="5">
        <v>0.1256944444444444</v>
      </c>
      <c r="N207" s="5">
        <v>0.4791666666666667</v>
      </c>
      <c r="O207" s="3">
        <v>1</v>
      </c>
      <c r="P207" s="3">
        <v>1</v>
      </c>
      <c r="Q207" s="3" t="s">
        <v>24</v>
      </c>
      <c r="R207" s="3" t="s">
        <v>24</v>
      </c>
      <c r="S207" s="5">
        <f>_xlfn.IFS(F207="2C1",I207,F207="3C1",I207*0.666666666667,F207="3C2",I207*0.333333333333,F207="3CX","",F207="4C1",I207*0.5,F207="4C2",I207*0.5,F207="4C3","",F207="4CR","",F207="2CR","",F207="2CO","",F207="4CX","",TRUE,"")</f>
        <v>0.25590277777777776</v>
      </c>
      <c r="T207" s="3"/>
    </row>
    <row r="208" spans="1:20">
      <c r="A208" s="2">
        <v>45391</v>
      </c>
      <c r="B208" s="3" t="s">
        <v>78</v>
      </c>
      <c r="C208" s="3" t="s">
        <v>20</v>
      </c>
      <c r="D208" s="3" t="s">
        <v>79</v>
      </c>
      <c r="E208" s="3" t="s">
        <v>28</v>
      </c>
      <c r="F208" s="3" t="s">
        <v>48</v>
      </c>
      <c r="G208" s="4">
        <v>0.1034722222222222</v>
      </c>
      <c r="H208" s="4">
        <v>0.6979166666666666</v>
      </c>
      <c r="I208" s="5">
        <v>0.5944444444444444</v>
      </c>
      <c r="J208" s="4"/>
      <c r="K208" s="4">
        <v>0.6923611111111111</v>
      </c>
      <c r="L208" s="5">
        <f>IF(J208&gt;0,MOD(K208-J208,1),"")</f>
        <v>0.5715277777777777</v>
      </c>
      <c r="M208" s="5">
        <v>0.1770833333333333</v>
      </c>
      <c r="N208" s="5">
        <v>0.5694444444444444</v>
      </c>
      <c r="O208" s="3">
        <v>0</v>
      </c>
      <c r="P208" s="3">
        <v>0</v>
      </c>
      <c r="Q208" s="3" t="s">
        <v>24</v>
      </c>
      <c r="R208" s="3" t="s">
        <v>24</v>
      </c>
      <c r="S208" s="5">
        <f>_xlfn.IFS(F208="2C1",I208,F208="3C1",I208*0.666666666667,F208="3C2",I208*0.333333333333,F208="3CX","",F208="4C1",I208*0.5,F208="4C2",I208*0.5,F208="4C3","",F208="4CR","",F208="2CR","",F208="2CO","",F208="4CX","",TRUE,"")</f>
        <v>0.2972222222222222</v>
      </c>
      <c r="T208" s="3" t="s">
        <v>116</v>
      </c>
    </row>
    <row r="209" spans="1:20">
      <c r="A209" s="2">
        <v>45393</v>
      </c>
      <c r="B209" s="3" t="s">
        <v>81</v>
      </c>
      <c r="C209" s="3" t="s">
        <v>79</v>
      </c>
      <c r="D209" s="3" t="s">
        <v>20</v>
      </c>
      <c r="E209" s="3" t="s">
        <v>28</v>
      </c>
      <c r="F209" s="3" t="s">
        <v>51</v>
      </c>
      <c r="G209" s="4">
        <v>0.7555555555555555</v>
      </c>
      <c r="H209" s="4">
        <v>0.3048611111111111</v>
      </c>
      <c r="I209" s="5">
        <v>0.5493055555555556</v>
      </c>
      <c r="J209" s="4"/>
      <c r="K209" s="4">
        <v>0.2951388888888889</v>
      </c>
      <c r="L209" s="5">
        <f>IF(J209&gt;0,MOD(K209-J209,1),"")</f>
        <v>0.5201388888888889</v>
      </c>
      <c r="M209" s="5">
        <v>0.1402777777777778</v>
      </c>
      <c r="N209" s="5">
        <v>0.5</v>
      </c>
      <c r="O209" s="3">
        <v>1</v>
      </c>
      <c r="P209" s="3">
        <v>1</v>
      </c>
      <c r="Q209" s="3" t="s">
        <v>24</v>
      </c>
      <c r="R209" s="3" t="s">
        <v>24</v>
      </c>
      <c r="S209" s="5">
        <f>_xlfn.IFS(F209="2C1",I209,F209="3C1",I209*0.666666666667,F209="3C2",I209*0.333333333333,F209="3CX","",F209="4C1",I209*0.5,F209="4C2",I209*0.5,F209="4C3","",F209="4CR","",F209="2CR","",F209="2CO","",F209="4CX","",TRUE,"")</f>
        <v>0.2746527777777778</v>
      </c>
      <c r="T209" s="3"/>
    </row>
    <row r="210" spans="1:20">
      <c r="A210" s="6" t="s">
        <v>36</v>
      </c>
      <c r="B210" s="6"/>
      <c r="C210" s="6"/>
      <c r="D210" s="6"/>
      <c r="E210" s="6"/>
      <c r="F210" s="6"/>
      <c r="G210" s="6"/>
      <c r="H210" s="6"/>
      <c r="I210" s="7">
        <f>SUM(I200:I209)</f>
        <v>4.565972222222222</v>
      </c>
      <c r="J210" s="8"/>
      <c r="K210" s="8"/>
      <c r="L210" s="7">
        <f>SUM(L200:L209)</f>
        <v>4.365972222222222</v>
      </c>
      <c r="M210" s="7">
        <f>SUM(M200:M209)</f>
        <v>1.5993055555555555</v>
      </c>
      <c r="N210" s="7">
        <f>SUM(N200:N209)</f>
        <v>4.315972222222222</v>
      </c>
      <c r="O210" s="8">
        <f>SUM(O200:O209)</f>
        <v>4</v>
      </c>
      <c r="P210" s="8">
        <f>SUM(P200:P209)</f>
        <v>4</v>
      </c>
      <c r="Q210" s="8"/>
      <c r="R210" s="8"/>
      <c r="S210" s="7">
        <f>SUM(S200:S209)</f>
        <v>2.26875</v>
      </c>
      <c r="T210" s="8"/>
    </row>
    <row r="211" spans="1:20">
      <c r="A211" s="6" t="s">
        <v>37</v>
      </c>
      <c r="B211" s="6"/>
      <c r="C211" s="6"/>
      <c r="D211" s="6"/>
      <c r="E211" s="6"/>
      <c r="F211" s="6"/>
      <c r="G211" s="6"/>
      <c r="H211" s="6"/>
      <c r="I211" s="7">
        <v>584.3013888888889</v>
      </c>
      <c r="J211" s="8"/>
      <c r="K211" s="8"/>
      <c r="L211" s="7"/>
      <c r="M211" s="7">
        <v>212.8340277777778</v>
      </c>
      <c r="N211" s="7">
        <v>435.79375</v>
      </c>
      <c r="O211" s="8">
        <v>1762</v>
      </c>
      <c r="P211" s="8">
        <v>1768</v>
      </c>
      <c r="Q211" s="8"/>
      <c r="R211" s="8"/>
      <c r="S211" s="7">
        <v>270.20625</v>
      </c>
      <c r="T211" s="8"/>
    </row>
    <row r="212" spans="1:20">
      <c r="A212" s="6" t="s">
        <v>38</v>
      </c>
      <c r="B212" s="6"/>
      <c r="C212" s="6"/>
      <c r="D212" s="6"/>
      <c r="E212" s="6"/>
      <c r="F212" s="6"/>
      <c r="G212" s="6"/>
      <c r="H212" s="6"/>
      <c r="I212" s="7">
        <v>588.8673611111111</v>
      </c>
      <c r="J212" s="8"/>
      <c r="K212" s="8"/>
      <c r="L212" s="7"/>
      <c r="M212" s="7">
        <v>214.4333333333333</v>
      </c>
      <c r="N212" s="7">
        <v>440.1097222222222</v>
      </c>
      <c r="O212" s="8">
        <v>1766</v>
      </c>
      <c r="P212" s="8">
        <v>1772</v>
      </c>
      <c r="Q212" s="8"/>
      <c r="R212" s="8"/>
      <c r="S212" s="7">
        <v>272.475</v>
      </c>
      <c r="T212" s="8"/>
    </row>
    <row r="221" spans="1:20">
      <c r="A221" s="1" t="s">
        <v>0</v>
      </c>
      <c r="B221" s="1" t="s">
        <v>1</v>
      </c>
      <c r="C221" s="1" t="s">
        <v>2</v>
      </c>
      <c r="D221" s="1" t="s">
        <v>3</v>
      </c>
      <c r="E221" s="1" t="s">
        <v>4</v>
      </c>
      <c r="F221" s="1" t="s">
        <v>5</v>
      </c>
      <c r="G221" s="1" t="s">
        <v>6</v>
      </c>
      <c r="H221" s="1" t="s">
        <v>7</v>
      </c>
      <c r="I221" s="1" t="s">
        <v>8</v>
      </c>
      <c r="J221" s="1" t="s">
        <v>3</v>
      </c>
      <c r="K221" s="1" t="s">
        <v>9</v>
      </c>
      <c r="L221" s="1" t="s">
        <v>10</v>
      </c>
      <c r="M221" s="1" t="s">
        <v>11</v>
      </c>
      <c r="N221" s="1" t="s">
        <v>12</v>
      </c>
      <c r="O221" s="1" t="s">
        <v>13</v>
      </c>
      <c r="P221" s="1" t="s">
        <v>14</v>
      </c>
      <c r="Q221" s="1" t="s">
        <v>15</v>
      </c>
      <c r="R221" s="1" t="s">
        <v>16</v>
      </c>
      <c r="S221" s="1" t="s">
        <v>17</v>
      </c>
      <c r="T221" s="1" t="s">
        <v>18</v>
      </c>
    </row>
    <row r="222" spans="1:20">
      <c r="A222" s="2">
        <v>45420</v>
      </c>
      <c r="B222" s="3" t="s">
        <v>90</v>
      </c>
      <c r="C222" s="3" t="s">
        <v>20</v>
      </c>
      <c r="D222" s="3" t="s">
        <v>91</v>
      </c>
      <c r="E222" s="3" t="s">
        <v>44</v>
      </c>
      <c r="F222" s="3" t="s">
        <v>46</v>
      </c>
      <c r="G222" s="4">
        <v>0.3229166666666667</v>
      </c>
      <c r="H222" s="4">
        <v>0.5597222222222222</v>
      </c>
      <c r="I222" s="5">
        <v>0.2368055555555555</v>
      </c>
      <c r="J222" s="4"/>
      <c r="K222" s="4">
        <v>0.5520833333333334</v>
      </c>
      <c r="L222" s="5">
        <f>IF(J222&gt;0,MOD(K222-J222,1),"")</f>
        <v>0.21458333333333332</v>
      </c>
      <c r="M222" s="5">
        <v>0.03888888888888889</v>
      </c>
      <c r="N222" s="5">
        <v>0.2118055555555556</v>
      </c>
      <c r="O222" s="3">
        <v>1</v>
      </c>
      <c r="P222" s="3">
        <v>1</v>
      </c>
      <c r="Q222" s="3" t="s">
        <v>24</v>
      </c>
      <c r="R222" s="3" t="s">
        <v>24</v>
      </c>
      <c r="S222" s="5">
        <f>_xlfn.IFS(F222="2C1",I222,F222="3C1",I222*0.666666666667,F222="3C2",I222*0.333333333333,F222="3CX","",F222="4C1",I222*0.5,F222="4C2",I222*0.5,F222="4C3","",F222="4CR","",F222="2CR","",F222="2CO","",F222="4CX","",TRUE,"")</f>
        <v>0.23680555555555555</v>
      </c>
      <c r="T222" s="3" t="s">
        <v>117</v>
      </c>
    </row>
    <row r="223" spans="1:20">
      <c r="A223" s="2">
        <v>45421</v>
      </c>
      <c r="B223" s="3" t="s">
        <v>93</v>
      </c>
      <c r="C223" s="3" t="s">
        <v>91</v>
      </c>
      <c r="D223" s="3" t="s">
        <v>20</v>
      </c>
      <c r="E223" s="3" t="s">
        <v>50</v>
      </c>
      <c r="F223" s="3" t="s">
        <v>46</v>
      </c>
      <c r="G223" s="4">
        <v>0.6569444444444444</v>
      </c>
      <c r="H223" s="4">
        <v>0.8715277777777778</v>
      </c>
      <c r="I223" s="5">
        <v>0.2145833333333333</v>
      </c>
      <c r="J223" s="4"/>
      <c r="K223" s="4">
        <v>0.8659722222222223</v>
      </c>
      <c r="L223" s="5">
        <f>IF(J223&gt;0,MOD(K223-J223,1),"")</f>
        <v>0.19444444444444445</v>
      </c>
      <c r="M223" s="5">
        <v>0.2354166666666667</v>
      </c>
      <c r="N223" s="5">
        <v>0.1909722222222222</v>
      </c>
      <c r="O223" s="3">
        <v>0</v>
      </c>
      <c r="P223" s="3">
        <v>0</v>
      </c>
      <c r="Q223" s="3" t="s">
        <v>24</v>
      </c>
      <c r="R223" s="3" t="s">
        <v>24</v>
      </c>
      <c r="S223" s="5">
        <f>_xlfn.IFS(F223="2C1",I223,F223="3C1",I223*0.666666666667,F223="3C2",I223*0.333333333333,F223="3CX","",F223="4C1",I223*0.5,F223="4C2",I223*0.5,F223="4C3","",F223="4CR","",F223="2CR","",F223="2CO","",F223="4CX","",TRUE,"")</f>
        <v>0.21458333333333332</v>
      </c>
      <c r="T223" s="3"/>
    </row>
    <row r="224" spans="1:20">
      <c r="A224" s="2">
        <v>45442</v>
      </c>
      <c r="B224" s="3" t="s">
        <v>78</v>
      </c>
      <c r="C224" s="3" t="s">
        <v>20</v>
      </c>
      <c r="D224" s="3" t="s">
        <v>79</v>
      </c>
      <c r="E224" s="3" t="s">
        <v>28</v>
      </c>
      <c r="F224" s="3" t="s">
        <v>48</v>
      </c>
      <c r="G224" s="4">
        <v>0.09722222222222222</v>
      </c>
      <c r="H224" s="4">
        <v>0.6868055555555556</v>
      </c>
      <c r="I224" s="5">
        <v>0.5895833333333333</v>
      </c>
      <c r="J224" s="4"/>
      <c r="K224" s="4">
        <v>0.6819444444444445</v>
      </c>
      <c r="L224" s="5">
        <f>IF(J224&gt;0,MOD(K224-J224,1),"")</f>
        <v>0.5673611111111111</v>
      </c>
      <c r="M224" s="5">
        <v>0.1659722222222222</v>
      </c>
      <c r="N224" s="5">
        <v>0.5652777777777778</v>
      </c>
      <c r="O224" s="3">
        <v>0</v>
      </c>
      <c r="P224" s="3">
        <v>0</v>
      </c>
      <c r="Q224" s="3" t="s">
        <v>24</v>
      </c>
      <c r="R224" s="3" t="s">
        <v>24</v>
      </c>
      <c r="S224" s="5">
        <f>_xlfn.IFS(F224="2C1",I224,F224="3C1",I224*0.666666666667,F224="3C2",I224*0.333333333333,F224="3CX","",F224="4C1",I224*0.5,F224="4C2",I224*0.5,F224="4C3","",F224="4CR","",F224="2CR","",F224="2CO","",F224="4CX","",TRUE,"")</f>
        <v>0.2947916666666667</v>
      </c>
      <c r="T224" s="3" t="s">
        <v>118</v>
      </c>
    </row>
    <row r="225" spans="1:20">
      <c r="A225" s="2">
        <v>45447</v>
      </c>
      <c r="B225" s="3" t="s">
        <v>81</v>
      </c>
      <c r="C225" s="3" t="s">
        <v>79</v>
      </c>
      <c r="D225" s="3" t="s">
        <v>20</v>
      </c>
      <c r="E225" s="3" t="s">
        <v>28</v>
      </c>
      <c r="F225" s="3" t="s">
        <v>51</v>
      </c>
      <c r="G225" s="4">
        <v>0.7638888888888888</v>
      </c>
      <c r="H225" s="4">
        <v>0.2833333333333333</v>
      </c>
      <c r="I225" s="5">
        <v>0.5194444444444445</v>
      </c>
      <c r="J225" s="4"/>
      <c r="K225" s="4">
        <v>0.2722222222222222</v>
      </c>
      <c r="L225" s="5">
        <f>IF(J225&gt;0,MOD(K225-J225,1),"")</f>
        <v>0.49166666666666664</v>
      </c>
      <c r="M225" s="5">
        <v>0.1319444444444444</v>
      </c>
      <c r="N225" s="5">
        <v>0.4895833333333333</v>
      </c>
      <c r="O225" s="3">
        <v>1</v>
      </c>
      <c r="P225" s="3">
        <v>1</v>
      </c>
      <c r="Q225" s="3" t="s">
        <v>24</v>
      </c>
      <c r="R225" s="3" t="s">
        <v>24</v>
      </c>
      <c r="S225" s="5">
        <f>_xlfn.IFS(F225="2C1",I225,F225="3C1",I225*0.666666666667,F225="3C2",I225*0.333333333333,F225="3CX","",F225="4C1",I225*0.5,F225="4C2",I225*0.5,F225="4C3","",F225="4CR","",F225="2CR","",F225="2CO","",F225="4CX","",TRUE,"")</f>
        <v>0.25972222222222224</v>
      </c>
      <c r="T225" s="3"/>
    </row>
    <row r="226" spans="1:20">
      <c r="A226" s="2">
        <v>45460</v>
      </c>
      <c r="B226" s="3" t="s">
        <v>39</v>
      </c>
      <c r="C226" s="3" t="s">
        <v>20</v>
      </c>
      <c r="D226" s="3" t="s">
        <v>40</v>
      </c>
      <c r="E226" s="3" t="s">
        <v>50</v>
      </c>
      <c r="F226" s="3" t="s">
        <v>51</v>
      </c>
      <c r="G226" s="4">
        <v>0.5201388888888889</v>
      </c>
      <c r="H226" s="4">
        <v>0.1229166666666667</v>
      </c>
      <c r="I226" s="5">
        <v>0.6027777777777777</v>
      </c>
      <c r="J226" s="4"/>
      <c r="K226" s="4">
        <v>0.08680555555555555</v>
      </c>
      <c r="L226" s="5">
        <f>IF(J226&gt;0,MOD(K226-J226,1),"")</f>
        <v>0.5548611111111111</v>
      </c>
      <c r="M226" s="5">
        <v>0.3541666666666667</v>
      </c>
      <c r="N226" s="5">
        <v>0.5520833333333334</v>
      </c>
      <c r="O226" s="3">
        <v>0</v>
      </c>
      <c r="P226" s="3">
        <v>0</v>
      </c>
      <c r="Q226" s="3" t="s">
        <v>24</v>
      </c>
      <c r="R226" s="3" t="s">
        <v>24</v>
      </c>
      <c r="S226" s="5">
        <f>_xlfn.IFS(F226="2C1",I226,F226="3C1",I226*0.666666666667,F226="3C2",I226*0.333333333333,F226="3CX","",F226="4C1",I226*0.5,F226="4C2",I226*0.5,F226="4C3","",F226="4CR","",F226="2CR","",F226="2CO","",F226="4CX","",TRUE,"")</f>
        <v>0.3013888888888889</v>
      </c>
      <c r="T226" s="3" t="s">
        <v>119</v>
      </c>
    </row>
    <row r="227" spans="1:20">
      <c r="A227" s="2">
        <v>45463</v>
      </c>
      <c r="B227" s="3" t="s">
        <v>43</v>
      </c>
      <c r="C227" s="3" t="s">
        <v>40</v>
      </c>
      <c r="D227" s="3" t="s">
        <v>20</v>
      </c>
      <c r="E227" s="3" t="s">
        <v>50</v>
      </c>
      <c r="F227" s="3" t="s">
        <v>48</v>
      </c>
      <c r="G227" s="4">
        <v>0.1930555555555556</v>
      </c>
      <c r="H227" s="4">
        <v>0.8083333333333333</v>
      </c>
      <c r="I227" s="5">
        <v>0.6152777777777778</v>
      </c>
      <c r="J227" s="4"/>
      <c r="K227" s="4">
        <v>0.8</v>
      </c>
      <c r="L227" s="5">
        <f>IF(J227&gt;0,MOD(K227-J227,1),"")</f>
        <v>0.5958333333333333</v>
      </c>
      <c r="M227" s="5">
        <v>0.2875</v>
      </c>
      <c r="N227" s="5">
        <v>0.59375</v>
      </c>
      <c r="O227" s="3">
        <v>0</v>
      </c>
      <c r="P227" s="3">
        <v>0</v>
      </c>
      <c r="Q227" s="3" t="s">
        <v>24</v>
      </c>
      <c r="R227" s="3" t="s">
        <v>24</v>
      </c>
      <c r="S227" s="5">
        <f>_xlfn.IFS(F227="2C1",I227,F227="3C1",I227*0.666666666667,F227="3C2",I227*0.333333333333,F227="3CX","",F227="4C1",I227*0.5,F227="4C2",I227*0.5,F227="4C3","",F227="4CR","",F227="2CR","",F227="2CO","",F227="4CX","",TRUE,"")</f>
        <v>0.3076388888888889</v>
      </c>
      <c r="T227" s="3"/>
    </row>
    <row r="228" spans="1:20">
      <c r="A228" s="2">
        <v>45471</v>
      </c>
      <c r="B228" s="3" t="s">
        <v>56</v>
      </c>
      <c r="C228" s="3" t="s">
        <v>20</v>
      </c>
      <c r="D228" s="3" t="s">
        <v>57</v>
      </c>
      <c r="E228" s="3" t="s">
        <v>44</v>
      </c>
      <c r="F228" s="3" t="s">
        <v>51</v>
      </c>
      <c r="G228" s="4">
        <v>0.1638888888888889</v>
      </c>
      <c r="H228" s="4">
        <v>0.6048611111111111</v>
      </c>
      <c r="I228" s="5">
        <v>0.4409722222222222</v>
      </c>
      <c r="J228" s="4"/>
      <c r="K228" s="4">
        <v>0.5979166666666667</v>
      </c>
      <c r="L228" s="5">
        <f>IF(J228&gt;0,MOD(K228-J228,1),"")</f>
        <v>0.4222222222222222</v>
      </c>
      <c r="M228" s="5">
        <v>0.08402777777777778</v>
      </c>
      <c r="N228" s="5">
        <v>0.4166666666666667</v>
      </c>
      <c r="O228" s="3">
        <v>1</v>
      </c>
      <c r="P228" s="3">
        <v>1</v>
      </c>
      <c r="Q228" s="3" t="s">
        <v>24</v>
      </c>
      <c r="R228" s="3" t="s">
        <v>24</v>
      </c>
      <c r="S228" s="5">
        <f>_xlfn.IFS(F228="2C1",I228,F228="3C1",I228*0.666666666667,F228="3C2",I228*0.333333333333,F228="3CX","",F228="4C1",I228*0.5,F228="4C2",I228*0.5,F228="4C3","",F228="4CR","",F228="2CR","",F228="2CO","",F228="4CX","",TRUE,"")</f>
        <v>0.2204861111111111</v>
      </c>
      <c r="T228" s="3" t="s">
        <v>120</v>
      </c>
    </row>
    <row r="229" spans="1:20">
      <c r="A229" s="2">
        <v>45473</v>
      </c>
      <c r="B229" s="3" t="s">
        <v>60</v>
      </c>
      <c r="C229" s="3" t="s">
        <v>57</v>
      </c>
      <c r="D229" s="3" t="s">
        <v>20</v>
      </c>
      <c r="E229" s="3" t="s">
        <v>50</v>
      </c>
      <c r="F229" s="3" t="s">
        <v>48</v>
      </c>
      <c r="G229" s="4">
        <v>0.7402777777777778</v>
      </c>
      <c r="H229" s="4">
        <v>0.28125</v>
      </c>
      <c r="I229" s="5">
        <v>0.5409722222222222</v>
      </c>
      <c r="J229" s="4"/>
      <c r="K229" s="4">
        <v>0.2708333333333333</v>
      </c>
      <c r="L229" s="5">
        <f>IF(J229&gt;0,MOD(K229-J229,1),"")</f>
        <v>0.5152777777777777</v>
      </c>
      <c r="M229" s="5">
        <v>0.1555555555555556</v>
      </c>
      <c r="N229" s="5">
        <v>0.5138888888888888</v>
      </c>
      <c r="O229" s="3">
        <v>0</v>
      </c>
      <c r="P229" s="3">
        <v>0</v>
      </c>
      <c r="Q229" s="3" t="s">
        <v>24</v>
      </c>
      <c r="R229" s="3" t="s">
        <v>24</v>
      </c>
      <c r="S229" s="5">
        <f>_xlfn.IFS(F229="2C1",I229,F229="3C1",I229*0.666666666667,F229="3C2",I229*0.333333333333,F229="3CX","",F229="4C1",I229*0.5,F229="4C2",I229*0.5,F229="4C3","",F229="4CR","",F229="2CR","",F229="2CO","",F229="4CX","",TRUE,"")</f>
        <v>0.2704861111111111</v>
      </c>
      <c r="T229" s="3"/>
    </row>
    <row r="230" spans="1:20">
      <c r="A230" s="2">
        <v>45476</v>
      </c>
      <c r="B230" s="3" t="s">
        <v>121</v>
      </c>
      <c r="C230" s="3" t="s">
        <v>20</v>
      </c>
      <c r="D230" s="3" t="s">
        <v>122</v>
      </c>
      <c r="E230" s="3" t="s">
        <v>28</v>
      </c>
      <c r="F230" s="3" t="s">
        <v>51</v>
      </c>
      <c r="G230" s="4">
        <v>0.3611111111111111</v>
      </c>
      <c r="H230" s="4">
        <v>0.8159722222222222</v>
      </c>
      <c r="I230" s="5">
        <v>0.4548611111111111</v>
      </c>
      <c r="J230" s="4"/>
      <c r="K230" s="4">
        <v>0.8055555555555556</v>
      </c>
      <c r="L230" s="5">
        <f>IF(J230&gt;0,MOD(K230-J230,1),"")</f>
        <v>0.42986111111111114</v>
      </c>
      <c r="M230" s="5">
        <v>0.2951388888888889</v>
      </c>
      <c r="N230" s="5">
        <v>0.4236111111111111</v>
      </c>
      <c r="O230" s="3">
        <v>1</v>
      </c>
      <c r="P230" s="3">
        <v>1</v>
      </c>
      <c r="Q230" s="3" t="s">
        <v>24</v>
      </c>
      <c r="R230" s="3" t="s">
        <v>24</v>
      </c>
      <c r="S230" s="5">
        <f>_xlfn.IFS(F230="2C1",I230,F230="3C1",I230*0.666666666667,F230="3C2",I230*0.333333333333,F230="3CX","",F230="4C1",I230*0.5,F230="4C2",I230*0.5,F230="4C3","",F230="4CR","",F230="2CR","",F230="2CO","",F230="4CX","",TRUE,"")</f>
        <v>0.22743055555555555</v>
      </c>
      <c r="T230" s="3" t="s">
        <v>123</v>
      </c>
    </row>
    <row r="231" spans="1:20">
      <c r="A231" s="2">
        <v>45478</v>
      </c>
      <c r="B231" s="3" t="s">
        <v>124</v>
      </c>
      <c r="C231" s="3" t="s">
        <v>122</v>
      </c>
      <c r="D231" s="3" t="s">
        <v>20</v>
      </c>
      <c r="E231" s="3" t="s">
        <v>44</v>
      </c>
      <c r="F231" s="3" t="s">
        <v>48</v>
      </c>
      <c r="G231" s="4">
        <v>0.9361111111111111</v>
      </c>
      <c r="H231" s="4">
        <v>0.425</v>
      </c>
      <c r="I231" s="5">
        <v>0.4888888888888889</v>
      </c>
      <c r="J231" s="4"/>
      <c r="K231" s="4">
        <v>0.4208333333333333</v>
      </c>
      <c r="L231" s="5">
        <f>IF(J231&gt;0,MOD(K231-J231,1),"")</f>
        <v>0.4736111111111111</v>
      </c>
      <c r="M231" s="5">
        <v>0</v>
      </c>
      <c r="N231" s="5">
        <v>0.4722222222222222</v>
      </c>
      <c r="O231" s="3">
        <v>0</v>
      </c>
      <c r="P231" s="3">
        <v>0</v>
      </c>
      <c r="Q231" s="3" t="s">
        <v>24</v>
      </c>
      <c r="R231" s="3" t="s">
        <v>24</v>
      </c>
      <c r="S231" s="5">
        <f>_xlfn.IFS(F231="2C1",I231,F231="3C1",I231*0.666666666667,F231="3C2",I231*0.333333333333,F231="3CX","",F231="4C1",I231*0.5,F231="4C2",I231*0.5,F231="4C3","",F231="4CR","",F231="2CR","",F231="2CO","",F231="4CX","",TRUE,"")</f>
        <v>0.24444444444444444</v>
      </c>
      <c r="T231" s="3"/>
    </row>
    <row r="232" spans="1:20">
      <c r="A232" s="6" t="s">
        <v>36</v>
      </c>
      <c r="B232" s="6"/>
      <c r="C232" s="6"/>
      <c r="D232" s="6"/>
      <c r="E232" s="6"/>
      <c r="F232" s="6"/>
      <c r="G232" s="6"/>
      <c r="H232" s="6"/>
      <c r="I232" s="7">
        <f>SUM(I222:I231)</f>
        <v>4.704166666666667</v>
      </c>
      <c r="J232" s="8"/>
      <c r="K232" s="8"/>
      <c r="L232" s="7">
        <f>SUM(L222:L231)</f>
        <v>4.459722222222222</v>
      </c>
      <c r="M232" s="7">
        <f>SUM(M222:M231)</f>
        <v>1.7486111111111111</v>
      </c>
      <c r="N232" s="7">
        <f>SUM(N222:N231)</f>
        <v>4.429861111111111</v>
      </c>
      <c r="O232" s="8">
        <f>SUM(O222:O231)</f>
        <v>4</v>
      </c>
      <c r="P232" s="8">
        <f>SUM(P222:P231)</f>
        <v>4</v>
      </c>
      <c r="Q232" s="8"/>
      <c r="R232" s="8"/>
      <c r="S232" s="7">
        <f>SUM(S222:S231)</f>
        <v>2.577777777777778</v>
      </c>
      <c r="T232" s="8"/>
    </row>
    <row r="233" spans="1:20">
      <c r="A233" s="6" t="s">
        <v>37</v>
      </c>
      <c r="B233" s="6"/>
      <c r="C233" s="6"/>
      <c r="D233" s="6"/>
      <c r="E233" s="6"/>
      <c r="F233" s="6"/>
      <c r="G233" s="6"/>
      <c r="H233" s="6"/>
      <c r="I233" s="7">
        <v>588.8673611111111</v>
      </c>
      <c r="J233" s="8"/>
      <c r="K233" s="8"/>
      <c r="L233" s="7"/>
      <c r="M233" s="7">
        <v>214.4333333333333</v>
      </c>
      <c r="N233" s="7">
        <v>440.1097222222222</v>
      </c>
      <c r="O233" s="8">
        <v>1766</v>
      </c>
      <c r="P233" s="8">
        <v>1772</v>
      </c>
      <c r="Q233" s="8"/>
      <c r="R233" s="8"/>
      <c r="S233" s="7">
        <v>272.475</v>
      </c>
      <c r="T233" s="8"/>
    </row>
    <row r="234" spans="1:20">
      <c r="A234" s="6" t="s">
        <v>38</v>
      </c>
      <c r="B234" s="6"/>
      <c r="C234" s="6"/>
      <c r="D234" s="6"/>
      <c r="E234" s="6"/>
      <c r="F234" s="6"/>
      <c r="G234" s="6"/>
      <c r="H234" s="6"/>
      <c r="I234" s="7">
        <v>593.5715277777778</v>
      </c>
      <c r="J234" s="8"/>
      <c r="K234" s="8"/>
      <c r="L234" s="7"/>
      <c r="M234" s="7">
        <v>216.1819444444444</v>
      </c>
      <c r="N234" s="7">
        <v>444.5395833333333</v>
      </c>
      <c r="O234" s="8">
        <v>1770</v>
      </c>
      <c r="P234" s="8">
        <v>1776</v>
      </c>
      <c r="Q234" s="8"/>
      <c r="R234" s="8"/>
      <c r="S234" s="7">
        <v>275.0527777777778</v>
      </c>
      <c r="T234" s="8"/>
    </row>
    <row r="243" spans="1:20">
      <c r="A243" s="1" t="s">
        <v>0</v>
      </c>
      <c r="B243" s="1" t="s">
        <v>1</v>
      </c>
      <c r="C243" s="1" t="s">
        <v>2</v>
      </c>
      <c r="D243" s="1" t="s">
        <v>3</v>
      </c>
      <c r="E243" s="1" t="s">
        <v>4</v>
      </c>
      <c r="F243" s="1" t="s">
        <v>5</v>
      </c>
      <c r="G243" s="1" t="s">
        <v>6</v>
      </c>
      <c r="H243" s="1" t="s">
        <v>7</v>
      </c>
      <c r="I243" s="1" t="s">
        <v>8</v>
      </c>
      <c r="J243" s="1" t="s">
        <v>3</v>
      </c>
      <c r="K243" s="1" t="s">
        <v>9</v>
      </c>
      <c r="L243" s="1" t="s">
        <v>10</v>
      </c>
      <c r="M243" s="1" t="s">
        <v>11</v>
      </c>
      <c r="N243" s="1" t="s">
        <v>12</v>
      </c>
      <c r="O243" s="1" t="s">
        <v>13</v>
      </c>
      <c r="P243" s="1" t="s">
        <v>14</v>
      </c>
      <c r="Q243" s="1" t="s">
        <v>15</v>
      </c>
      <c r="R243" s="1" t="s">
        <v>16</v>
      </c>
      <c r="S243" s="1" t="s">
        <v>17</v>
      </c>
      <c r="T243" s="1" t="s">
        <v>18</v>
      </c>
    </row>
    <row r="244" spans="1:20">
      <c r="A244" s="2">
        <v>45481</v>
      </c>
      <c r="B244" s="3" t="s">
        <v>56</v>
      </c>
      <c r="C244" s="3" t="s">
        <v>20</v>
      </c>
      <c r="D244" s="3" t="s">
        <v>57</v>
      </c>
      <c r="E244" s="3" t="s">
        <v>44</v>
      </c>
      <c r="F244" s="3" t="s">
        <v>51</v>
      </c>
      <c r="G244" s="4">
        <v>0.1604166666666667</v>
      </c>
      <c r="H244" s="4">
        <v>0.6423611111111112</v>
      </c>
      <c r="I244" s="5">
        <v>0.4819444444444445</v>
      </c>
      <c r="J244" s="4"/>
      <c r="K244" s="4">
        <v>0.6381944444444444</v>
      </c>
      <c r="L244" s="5">
        <f>IF(J244&gt;0,MOD(K244-J244,1),"")</f>
        <v>0.46458333333333335</v>
      </c>
      <c r="M244" s="5">
        <v>0.1215277777777778</v>
      </c>
      <c r="N244" s="5">
        <v>0.4583333333333333</v>
      </c>
      <c r="O244" s="3">
        <v>1</v>
      </c>
      <c r="P244" s="3">
        <v>1</v>
      </c>
      <c r="Q244" s="3" t="s">
        <v>27</v>
      </c>
      <c r="R244" s="3" t="s">
        <v>45</v>
      </c>
      <c r="S244" s="5">
        <f>_xlfn.IFS(F244="2C1",I244,F244="3C1",I244*0.666666666667,F244="3C2",I244*0.333333333333,F244="3CX","",F244="4C1",I244*0.5,F244="4C2",I244*0.5,F244="4C3","",F244="4CR","",F244="2CR","",F244="2CO","",F244="4CX","",TRUE,"")</f>
        <v>0.24097222222222223</v>
      </c>
      <c r="T244" s="3" t="s">
        <v>125</v>
      </c>
    </row>
    <row r="245" spans="1:20">
      <c r="A245" s="2">
        <v>45483</v>
      </c>
      <c r="B245" s="3" t="s">
        <v>60</v>
      </c>
      <c r="C245" s="3" t="s">
        <v>57</v>
      </c>
      <c r="D245" s="3" t="s">
        <v>20</v>
      </c>
      <c r="E245" s="3" t="s">
        <v>44</v>
      </c>
      <c r="F245" s="3" t="s">
        <v>48</v>
      </c>
      <c r="G245" s="4">
        <v>0.7423611111111111</v>
      </c>
      <c r="H245" s="4">
        <v>0.2701388888888889</v>
      </c>
      <c r="I245" s="5">
        <v>0.5277777777777778</v>
      </c>
      <c r="J245" s="4"/>
      <c r="K245" s="4">
        <v>0.2645833333333333</v>
      </c>
      <c r="L245" s="5">
        <f>IF(J245&gt;0,MOD(K245-J245,1),"")</f>
        <v>0.50625</v>
      </c>
      <c r="M245" s="5">
        <v>0.1534722222222222</v>
      </c>
      <c r="N245" s="5">
        <v>0.5</v>
      </c>
      <c r="O245" s="3">
        <v>0</v>
      </c>
      <c r="P245" s="3">
        <v>0</v>
      </c>
      <c r="Q245" s="3" t="s">
        <v>24</v>
      </c>
      <c r="R245" s="3" t="s">
        <v>24</v>
      </c>
      <c r="S245" s="5">
        <f>_xlfn.IFS(F245="2C1",I245,F245="3C1",I245*0.666666666667,F245="3C2",I245*0.333333333333,F245="3CX","",F245="4C1",I245*0.5,F245="4C2",I245*0.5,F245="4C3","",F245="4CR","",F245="2CR","",F245="2CO","",F245="4CX","",TRUE,"")</f>
        <v>0.2638888888888889</v>
      </c>
      <c r="T245" s="3"/>
    </row>
    <row r="246" spans="1:20">
      <c r="A246" s="2">
        <v>45488</v>
      </c>
      <c r="B246" s="3" t="s">
        <v>121</v>
      </c>
      <c r="C246" s="3" t="s">
        <v>20</v>
      </c>
      <c r="D246" s="3" t="s">
        <v>122</v>
      </c>
      <c r="E246" s="3" t="s">
        <v>28</v>
      </c>
      <c r="F246" s="3" t="s">
        <v>48</v>
      </c>
      <c r="G246" s="4">
        <v>0.3763888888888889</v>
      </c>
      <c r="H246" s="4">
        <v>0.825</v>
      </c>
      <c r="I246" s="5">
        <v>0.4486111111111111</v>
      </c>
      <c r="J246" s="4"/>
      <c r="K246" s="4">
        <v>0.8152777777777778</v>
      </c>
      <c r="L246" s="5">
        <f>IF(J246&gt;0,MOD(K246-J246,1),"")</f>
        <v>0.41944444444444445</v>
      </c>
      <c r="M246" s="5">
        <v>0.3041666666666666</v>
      </c>
      <c r="N246" s="5">
        <v>0.4194444444444445</v>
      </c>
      <c r="O246" s="3">
        <v>0</v>
      </c>
      <c r="P246" s="3">
        <v>0</v>
      </c>
      <c r="Q246" s="3" t="s">
        <v>24</v>
      </c>
      <c r="R246" s="3" t="s">
        <v>24</v>
      </c>
      <c r="S246" s="5">
        <f>_xlfn.IFS(F246="2C1",I246,F246="3C1",I246*0.666666666667,F246="3C2",I246*0.333333333333,F246="3CX","",F246="4C1",I246*0.5,F246="4C2",I246*0.5,F246="4C3","",F246="4CR","",F246="2CR","",F246="2CO","",F246="4CX","",TRUE,"")</f>
        <v>0.22430555555555556</v>
      </c>
      <c r="T246" s="3" t="s">
        <v>126</v>
      </c>
    </row>
    <row r="247" spans="1:20">
      <c r="A247" s="2">
        <v>45490</v>
      </c>
      <c r="B247" s="3" t="s">
        <v>124</v>
      </c>
      <c r="C247" s="3" t="s">
        <v>122</v>
      </c>
      <c r="D247" s="3" t="s">
        <v>20</v>
      </c>
      <c r="E247" s="3" t="s">
        <v>28</v>
      </c>
      <c r="F247" s="3" t="s">
        <v>51</v>
      </c>
      <c r="G247" s="4">
        <v>0.9513888888888888</v>
      </c>
      <c r="H247" s="4">
        <v>0.4381944444444444</v>
      </c>
      <c r="I247" s="5">
        <v>0.4868055555555555</v>
      </c>
      <c r="J247" s="4"/>
      <c r="K247" s="4">
        <v>0.4270833333333333</v>
      </c>
      <c r="L247" s="5">
        <f>IF(J247&gt;0,MOD(K247-J247,1),"")</f>
        <v>0.46041666666666664</v>
      </c>
      <c r="M247" s="5">
        <v>0</v>
      </c>
      <c r="N247" s="5">
        <v>0.4583333333333333</v>
      </c>
      <c r="O247" s="3">
        <v>0</v>
      </c>
      <c r="P247" s="3">
        <v>0</v>
      </c>
      <c r="Q247" s="3" t="s">
        <v>24</v>
      </c>
      <c r="R247" s="3" t="s">
        <v>24</v>
      </c>
      <c r="S247" s="5">
        <f>_xlfn.IFS(F247="2C1",I247,F247="3C1",I247*0.666666666667,F247="3C2",I247*0.333333333333,F247="3CX","",F247="4C1",I247*0.5,F247="4C2",I247*0.5,F247="4C3","",F247="4CR","",F247="2CR","",F247="2CO","",F247="4CX","",TRUE,"")</f>
        <v>0.24340277777777777</v>
      </c>
      <c r="T247" s="3"/>
    </row>
    <row r="248" spans="1:20">
      <c r="A248" s="2">
        <v>45494</v>
      </c>
      <c r="B248" s="3" t="s">
        <v>19</v>
      </c>
      <c r="C248" s="3" t="s">
        <v>20</v>
      </c>
      <c r="D248" s="3" t="s">
        <v>21</v>
      </c>
      <c r="E248" s="3" t="s">
        <v>28</v>
      </c>
      <c r="F248" s="3" t="s">
        <v>46</v>
      </c>
      <c r="G248" s="4">
        <v>0</v>
      </c>
      <c r="H248" s="4">
        <v>0.1020833333333333</v>
      </c>
      <c r="I248" s="5">
        <v>0.1020833333333333</v>
      </c>
      <c r="J248" s="4"/>
      <c r="K248" s="4">
        <v>0.09166666666666666</v>
      </c>
      <c r="L248" s="5">
        <f>IF(J248&gt;0,MOD(K248-J248,1),"")</f>
        <v>0.08055555555555556</v>
      </c>
      <c r="M248" s="5">
        <v>0</v>
      </c>
      <c r="N248" s="5">
        <v>0.0763888888888889</v>
      </c>
      <c r="O248" s="3">
        <v>0</v>
      </c>
      <c r="P248" s="3">
        <v>0</v>
      </c>
      <c r="Q248" s="3" t="s">
        <v>24</v>
      </c>
      <c r="R248" s="3" t="s">
        <v>24</v>
      </c>
      <c r="S248" s="5">
        <f>_xlfn.IFS(F248="2C1",I248,F248="3C1",I248*0.666666666667,F248="3C2",I248*0.333333333333,F248="3CX","",F248="4C1",I248*0.5,F248="4C2",I248*0.5,F248="4C3","",F248="4CR","",F248="2CR","",F248="2CO","",F248="4CX","",TRUE,"")</f>
        <v>0.10208333333333333</v>
      </c>
      <c r="T248" s="3" t="s">
        <v>127</v>
      </c>
    </row>
    <row r="249" spans="1:20">
      <c r="A249" s="2">
        <v>45495</v>
      </c>
      <c r="B249" s="3" t="s">
        <v>26</v>
      </c>
      <c r="C249" s="3" t="s">
        <v>21</v>
      </c>
      <c r="D249" s="3" t="s">
        <v>20</v>
      </c>
      <c r="E249" s="3" t="s">
        <v>28</v>
      </c>
      <c r="F249" s="3" t="s">
        <v>46</v>
      </c>
      <c r="G249" s="4">
        <v>0.1513888888888889</v>
      </c>
      <c r="H249" s="4">
        <v>0.2618055555555556</v>
      </c>
      <c r="I249" s="5">
        <v>0.1104166666666667</v>
      </c>
      <c r="J249" s="4"/>
      <c r="K249" s="4">
        <v>0.2569444444444444</v>
      </c>
      <c r="L249" s="5">
        <f>IF(J249&gt;0,MOD(K249-J249,1),"")</f>
        <v>0.08611111111111111</v>
      </c>
      <c r="M249" s="5">
        <v>0</v>
      </c>
      <c r="N249" s="5">
        <v>0.08333333333333333</v>
      </c>
      <c r="O249" s="3">
        <v>1</v>
      </c>
      <c r="P249" s="3">
        <v>1</v>
      </c>
      <c r="Q249" s="3" t="s">
        <v>24</v>
      </c>
      <c r="R249" s="3" t="s">
        <v>24</v>
      </c>
      <c r="S249" s="5">
        <f>_xlfn.IFS(F249="2C1",I249,F249="3C1",I249*0.666666666667,F249="3C2",I249*0.333333333333,F249="3CX","",F249="4C1",I249*0.5,F249="4C2",I249*0.5,F249="4C3","",F249="4CR","",F249="2CR","",F249="2CO","",F249="4CX","",TRUE,"")</f>
        <v>0.11041666666666666</v>
      </c>
      <c r="T249" s="3"/>
    </row>
    <row r="250" spans="1:20">
      <c r="A250" s="2">
        <v>45497</v>
      </c>
      <c r="B250" s="3" t="s">
        <v>56</v>
      </c>
      <c r="C250" s="3" t="s">
        <v>20</v>
      </c>
      <c r="D250" s="3" t="s">
        <v>57</v>
      </c>
      <c r="E250" s="3" t="s">
        <v>50</v>
      </c>
      <c r="F250" s="3" t="s">
        <v>48</v>
      </c>
      <c r="G250" s="4">
        <v>0.2819444444444444</v>
      </c>
      <c r="H250" s="4">
        <v>0.7569444444444444</v>
      </c>
      <c r="I250" s="5">
        <v>0.475</v>
      </c>
      <c r="J250" s="4"/>
      <c r="K250" s="4">
        <v>0.75</v>
      </c>
      <c r="L250" s="5">
        <f>IF(J250&gt;0,MOD(K250-J250,1),"")</f>
        <v>0.45694444444444443</v>
      </c>
      <c r="M250" s="5">
        <v>0.2361111111111111</v>
      </c>
      <c r="N250" s="5">
        <v>0.4569444444444444</v>
      </c>
      <c r="O250" s="3">
        <v>0</v>
      </c>
      <c r="P250" s="3">
        <v>0</v>
      </c>
      <c r="Q250" s="3" t="s">
        <v>24</v>
      </c>
      <c r="R250" s="3" t="s">
        <v>24</v>
      </c>
      <c r="S250" s="5">
        <f>_xlfn.IFS(F250="2C1",I250,F250="3C1",I250*0.666666666667,F250="3C2",I250*0.333333333333,F250="3CX","",F250="4C1",I250*0.5,F250="4C2",I250*0.5,F250="4C3","",F250="4CR","",F250="2CR","",F250="2CO","",F250="4CX","",TRUE,"")</f>
        <v>0.2375</v>
      </c>
      <c r="T250" s="3" t="s">
        <v>128</v>
      </c>
    </row>
    <row r="251" spans="1:20">
      <c r="A251" s="2">
        <v>45499</v>
      </c>
      <c r="B251" s="3" t="s">
        <v>60</v>
      </c>
      <c r="C251" s="3" t="s">
        <v>57</v>
      </c>
      <c r="D251" s="3" t="s">
        <v>20</v>
      </c>
      <c r="E251" s="3" t="s">
        <v>22</v>
      </c>
      <c r="F251" s="3" t="s">
        <v>48</v>
      </c>
      <c r="G251" s="4">
        <v>0.7402777777777778</v>
      </c>
      <c r="H251" s="4">
        <v>0.2555555555555555</v>
      </c>
      <c r="I251" s="5">
        <v>0.5152777777777777</v>
      </c>
      <c r="J251" s="4"/>
      <c r="K251" s="4">
        <v>0.25</v>
      </c>
      <c r="L251" s="5">
        <f>IF(J251&gt;0,MOD(K251-J251,1),"")</f>
        <v>0.4965277777777778</v>
      </c>
      <c r="M251" s="5">
        <v>0.1555555555555556</v>
      </c>
      <c r="N251" s="5">
        <v>0.4958333333333333</v>
      </c>
      <c r="O251" s="3">
        <v>0</v>
      </c>
      <c r="P251" s="3">
        <v>0</v>
      </c>
      <c r="Q251" s="3" t="s">
        <v>24</v>
      </c>
      <c r="R251" s="3" t="s">
        <v>24</v>
      </c>
      <c r="S251" s="5">
        <f>_xlfn.IFS(F251="2C1",I251,F251="3C1",I251*0.666666666667,F251="3C2",I251*0.333333333333,F251="3CX","",F251="4C1",I251*0.5,F251="4C2",I251*0.5,F251="4C3","",F251="4CR","",F251="2CR","",F251="2CO","",F251="4CX","",TRUE,"")</f>
        <v>0.25763888888888886</v>
      </c>
      <c r="T251" s="3"/>
    </row>
    <row r="252" spans="1:20">
      <c r="A252" s="2">
        <v>45503</v>
      </c>
      <c r="B252" s="3" t="s">
        <v>19</v>
      </c>
      <c r="C252" s="3" t="s">
        <v>20</v>
      </c>
      <c r="D252" s="3" t="s">
        <v>21</v>
      </c>
      <c r="E252" s="3" t="s">
        <v>44</v>
      </c>
      <c r="F252" s="3" t="s">
        <v>46</v>
      </c>
      <c r="G252" s="4">
        <v>0.9944444444444445</v>
      </c>
      <c r="H252" s="4">
        <v>0.09305555555555556</v>
      </c>
      <c r="I252" s="5">
        <v>0.09861111111111111</v>
      </c>
      <c r="J252" s="4"/>
      <c r="K252" s="4">
        <v>0.08611111111111111</v>
      </c>
      <c r="L252" s="5">
        <f>IF(J252&gt;0,MOD(K252-J252,1),"")</f>
        <v>0.07777777777777778</v>
      </c>
      <c r="M252" s="5">
        <v>0</v>
      </c>
      <c r="N252" s="5">
        <v>0.0763888888888889</v>
      </c>
      <c r="O252" s="3">
        <v>1</v>
      </c>
      <c r="P252" s="3">
        <v>1</v>
      </c>
      <c r="Q252" s="3" t="s">
        <v>24</v>
      </c>
      <c r="R252" s="3" t="s">
        <v>24</v>
      </c>
      <c r="S252" s="5">
        <f>_xlfn.IFS(F252="2C1",I252,F252="3C1",I252*0.666666666667,F252="3C2",I252*0.333333333333,F252="3CX","",F252="4C1",I252*0.5,F252="4C2",I252*0.5,F252="4C3","",F252="4CR","",F252="2CR","",F252="2CO","",F252="4CX","",TRUE,"")</f>
        <v>0.09861111111111111</v>
      </c>
      <c r="T252" s="3" t="s">
        <v>129</v>
      </c>
    </row>
    <row r="253" spans="1:20">
      <c r="A253" s="2">
        <v>45504</v>
      </c>
      <c r="B253" s="3" t="s">
        <v>26</v>
      </c>
      <c r="C253" s="3" t="s">
        <v>21</v>
      </c>
      <c r="D253" s="3" t="s">
        <v>20</v>
      </c>
      <c r="E253" s="3" t="s">
        <v>44</v>
      </c>
      <c r="F253" s="3" t="s">
        <v>46</v>
      </c>
      <c r="G253" s="4">
        <v>0.1583333333333333</v>
      </c>
      <c r="H253" s="4">
        <v>0.25625</v>
      </c>
      <c r="I253" s="5">
        <v>0.09791666666666667</v>
      </c>
      <c r="J253" s="4"/>
      <c r="K253" s="4">
        <v>0.25</v>
      </c>
      <c r="L253" s="5">
        <f>IF(J253&gt;0,MOD(K253-J253,1),"")</f>
        <v>0.07708333333333334</v>
      </c>
      <c r="M253" s="5">
        <v>0</v>
      </c>
      <c r="N253" s="5">
        <v>0.0763888888888889</v>
      </c>
      <c r="O253" s="3">
        <v>0</v>
      </c>
      <c r="P253" s="3">
        <v>0</v>
      </c>
      <c r="Q253" s="3" t="s">
        <v>24</v>
      </c>
      <c r="R253" s="3" t="s">
        <v>24</v>
      </c>
      <c r="S253" s="5">
        <f>_xlfn.IFS(F253="2C1",I253,F253="3C1",I253*0.666666666667,F253="3C2",I253*0.333333333333,F253="3CX","",F253="4C1",I253*0.5,F253="4C2",I253*0.5,F253="4C3","",F253="4CR","",F253="2CR","",F253="2CO","",F253="4CX","",TRUE,"")</f>
        <v>0.09791666666666667</v>
      </c>
      <c r="T253" s="3"/>
    </row>
    <row r="254" spans="1:20">
      <c r="A254" s="6" t="s">
        <v>36</v>
      </c>
      <c r="B254" s="6"/>
      <c r="C254" s="6"/>
      <c r="D254" s="6"/>
      <c r="E254" s="6"/>
      <c r="F254" s="6"/>
      <c r="G254" s="6"/>
      <c r="H254" s="6"/>
      <c r="I254" s="7">
        <f>SUM(I244:I253)</f>
        <v>3.3444444444444446</v>
      </c>
      <c r="J254" s="8"/>
      <c r="K254" s="8"/>
      <c r="L254" s="7">
        <f>SUM(L244:L253)</f>
        <v>3.1256944444444446</v>
      </c>
      <c r="M254" s="7">
        <f>SUM(M244:M253)</f>
        <v>0.9708333333333333</v>
      </c>
      <c r="N254" s="7">
        <f>SUM(N244:N253)</f>
        <v>3.1013888888888888</v>
      </c>
      <c r="O254" s="8">
        <f>SUM(O244:O253)</f>
        <v>3</v>
      </c>
      <c r="P254" s="8">
        <f>SUM(P244:P253)</f>
        <v>3</v>
      </c>
      <c r="Q254" s="8"/>
      <c r="R254" s="8"/>
      <c r="S254" s="7">
        <f>SUM(S244:S253)</f>
        <v>1.8763888888888889</v>
      </c>
      <c r="T254" s="8"/>
    </row>
    <row r="255" spans="1:20">
      <c r="A255" s="6" t="s">
        <v>37</v>
      </c>
      <c r="B255" s="6"/>
      <c r="C255" s="6"/>
      <c r="D255" s="6"/>
      <c r="E255" s="6"/>
      <c r="F255" s="6"/>
      <c r="G255" s="6"/>
      <c r="H255" s="6"/>
      <c r="I255" s="7">
        <v>593.5715277777778</v>
      </c>
      <c r="J255" s="8"/>
      <c r="K255" s="8"/>
      <c r="L255" s="7"/>
      <c r="M255" s="7">
        <v>216.1819444444444</v>
      </c>
      <c r="N255" s="7">
        <v>444.5395833333333</v>
      </c>
      <c r="O255" s="8">
        <v>1770</v>
      </c>
      <c r="P255" s="8">
        <v>1776</v>
      </c>
      <c r="Q255" s="8"/>
      <c r="R255" s="8"/>
      <c r="S255" s="7">
        <v>275.0527777777778</v>
      </c>
      <c r="T255" s="8"/>
    </row>
    <row r="256" spans="1:20">
      <c r="A256" s="6" t="s">
        <v>38</v>
      </c>
      <c r="B256" s="6"/>
      <c r="C256" s="6"/>
      <c r="D256" s="6"/>
      <c r="E256" s="6"/>
      <c r="F256" s="6"/>
      <c r="G256" s="6"/>
      <c r="H256" s="6"/>
      <c r="I256" s="7">
        <v>596.9159722222222</v>
      </c>
      <c r="J256" s="8"/>
      <c r="K256" s="8"/>
      <c r="L256" s="7"/>
      <c r="M256" s="7">
        <v>217.1527777777778</v>
      </c>
      <c r="N256" s="7">
        <v>447.6409722222222</v>
      </c>
      <c r="O256" s="8">
        <v>1773</v>
      </c>
      <c r="P256" s="8">
        <v>1779</v>
      </c>
      <c r="Q256" s="8"/>
      <c r="R256" s="8"/>
      <c r="S256" s="7">
        <v>276.9291666666667</v>
      </c>
      <c r="T256" s="8"/>
    </row>
    <row r="265" spans="1:20">
      <c r="A265" s="1" t="s">
        <v>0</v>
      </c>
      <c r="B265" s="1" t="s">
        <v>1</v>
      </c>
      <c r="C265" s="1" t="s">
        <v>2</v>
      </c>
      <c r="D265" s="1" t="s">
        <v>3</v>
      </c>
      <c r="E265" s="1" t="s">
        <v>4</v>
      </c>
      <c r="F265" s="1" t="s">
        <v>5</v>
      </c>
      <c r="G265" s="1" t="s">
        <v>6</v>
      </c>
      <c r="H265" s="1" t="s">
        <v>7</v>
      </c>
      <c r="I265" s="1" t="s">
        <v>8</v>
      </c>
      <c r="J265" s="1" t="s">
        <v>3</v>
      </c>
      <c r="K265" s="1" t="s">
        <v>9</v>
      </c>
      <c r="L265" s="1" t="s">
        <v>10</v>
      </c>
      <c r="M265" s="1" t="s">
        <v>11</v>
      </c>
      <c r="N265" s="1" t="s">
        <v>12</v>
      </c>
      <c r="O265" s="1" t="s">
        <v>13</v>
      </c>
      <c r="P265" s="1" t="s">
        <v>14</v>
      </c>
      <c r="Q265" s="1" t="s">
        <v>15</v>
      </c>
      <c r="R265" s="1" t="s">
        <v>16</v>
      </c>
      <c r="S265" s="1" t="s">
        <v>17</v>
      </c>
      <c r="T265" s="1" t="s">
        <v>18</v>
      </c>
    </row>
    <row r="266" spans="1:20">
      <c r="A266" s="2">
        <v>45505</v>
      </c>
      <c r="B266" s="3" t="s">
        <v>56</v>
      </c>
      <c r="C266" s="3" t="s">
        <v>20</v>
      </c>
      <c r="D266" s="3" t="s">
        <v>57</v>
      </c>
      <c r="E266" s="3" t="s">
        <v>32</v>
      </c>
      <c r="F266" s="3" t="s">
        <v>51</v>
      </c>
      <c r="G266" s="4">
        <v>0.2993055555555555</v>
      </c>
      <c r="H266" s="4">
        <v>0.7944444444444444</v>
      </c>
      <c r="I266" s="5">
        <v>0.4951388888888889</v>
      </c>
      <c r="J266" s="4"/>
      <c r="K266" s="4">
        <v>0.7840277777777778</v>
      </c>
      <c r="L266" s="5">
        <f>IF(J266&gt;0,MOD(K266-J266,1),"")</f>
        <v>0.46805555555555556</v>
      </c>
      <c r="M266" s="5">
        <v>0.2736111111111111</v>
      </c>
      <c r="N266" s="5">
        <v>0.4652777777777778</v>
      </c>
      <c r="O266" s="3">
        <v>0</v>
      </c>
      <c r="P266" s="3">
        <v>0</v>
      </c>
      <c r="Q266" s="3" t="s">
        <v>24</v>
      </c>
      <c r="R266" s="3" t="s">
        <v>24</v>
      </c>
      <c r="S266" s="5">
        <f>_xlfn.IFS(F266="2C1",I266,F266="3C1",I266*0.666666666667,F266="3C2",I266*0.333333333333,F266="3CX","",F266="4C1",I266*0.5,F266="4C2",I266*0.5,F266="4C3","",F266="4CR","",F266="2CR","",F266="2CO","",F266="4CX","",TRUE,"")</f>
        <v>0.24756944444444445</v>
      </c>
      <c r="T266" s="3" t="s">
        <v>130</v>
      </c>
    </row>
    <row r="267" spans="1:20">
      <c r="A267" s="2">
        <v>45507</v>
      </c>
      <c r="B267" s="3" t="s">
        <v>60</v>
      </c>
      <c r="C267" s="3" t="s">
        <v>57</v>
      </c>
      <c r="D267" s="3" t="s">
        <v>20</v>
      </c>
      <c r="E267" s="3" t="s">
        <v>44</v>
      </c>
      <c r="F267" s="3" t="s">
        <v>48</v>
      </c>
      <c r="G267" s="4">
        <v>0.75625</v>
      </c>
      <c r="H267" s="4">
        <v>0.2590277777777778</v>
      </c>
      <c r="I267" s="5">
        <v>0.5027777777777778</v>
      </c>
      <c r="J267" s="4"/>
      <c r="K267" s="4">
        <v>0.2513888888888889</v>
      </c>
      <c r="L267" s="5">
        <f>IF(J267&gt;0,MOD(K267-J267,1),"")</f>
        <v>0.4756944444444444</v>
      </c>
      <c r="M267" s="5">
        <v>0.1395833333333333</v>
      </c>
      <c r="N267" s="5">
        <v>0.4756944444444444</v>
      </c>
      <c r="O267" s="3">
        <v>0</v>
      </c>
      <c r="P267" s="3">
        <v>0</v>
      </c>
      <c r="Q267" s="3" t="s">
        <v>24</v>
      </c>
      <c r="R267" s="3" t="s">
        <v>24</v>
      </c>
      <c r="S267" s="5">
        <f>_xlfn.IFS(F267="2C1",I267,F267="3C1",I267*0.666666666667,F267="3C2",I267*0.333333333333,F267="3CX","",F267="4C1",I267*0.5,F267="4C2",I267*0.5,F267="4C3","",F267="4CR","",F267="2CR","",F267="2CO","",F267="4CX","",TRUE,"")</f>
        <v>0.2513888888888889</v>
      </c>
      <c r="T267" s="3"/>
    </row>
    <row r="268" spans="1:20">
      <c r="A268" s="2">
        <v>45513</v>
      </c>
      <c r="B268" s="3" t="s">
        <v>131</v>
      </c>
      <c r="C268" s="3" t="s">
        <v>20</v>
      </c>
      <c r="D268" s="3" t="s">
        <v>40</v>
      </c>
      <c r="E268" s="3" t="s">
        <v>28</v>
      </c>
      <c r="F268" s="3" t="s">
        <v>51</v>
      </c>
      <c r="G268" s="4">
        <v>0.6673611111111111</v>
      </c>
      <c r="H268" s="4">
        <v>0.2604166666666667</v>
      </c>
      <c r="I268" s="5">
        <v>0.5930555555555556</v>
      </c>
      <c r="J268" s="4"/>
      <c r="K268" s="4">
        <v>0.2534722222222222</v>
      </c>
      <c r="L268" s="5">
        <f>IF(J268&gt;0,MOD(K268-J268,1),"")</f>
        <v>0.5694444444444444</v>
      </c>
      <c r="M268" s="5">
        <v>0.2284722222222222</v>
      </c>
      <c r="N268" s="5">
        <v>0.5694444444444444</v>
      </c>
      <c r="O268" s="3">
        <v>0</v>
      </c>
      <c r="P268" s="3">
        <v>1</v>
      </c>
      <c r="Q268" s="3" t="s">
        <v>27</v>
      </c>
      <c r="R268" s="3" t="s">
        <v>24</v>
      </c>
      <c r="S268" s="5">
        <f>_xlfn.IFS(F268="2C1",I268,F268="3C1",I268*0.666666666667,F268="3C2",I268*0.333333333333,F268="3CX","",F268="4C1",I268*0.5,F268="4C2",I268*0.5,F268="4C3","",F268="4CR","",F268="2CR","",F268="2CO","",F268="4CX","",TRUE,"")</f>
        <v>0.2965277777777778</v>
      </c>
      <c r="T268" s="3" t="s">
        <v>132</v>
      </c>
    </row>
    <row r="269" spans="1:20">
      <c r="A269" s="2">
        <v>45516</v>
      </c>
      <c r="B269" s="3" t="s">
        <v>43</v>
      </c>
      <c r="C269" s="3" t="s">
        <v>40</v>
      </c>
      <c r="D269" s="3" t="s">
        <v>20</v>
      </c>
      <c r="E269" s="3" t="s">
        <v>22</v>
      </c>
      <c r="F269" s="3" t="s">
        <v>48</v>
      </c>
      <c r="G269" s="4">
        <v>0.5222222222222223</v>
      </c>
      <c r="H269" s="4">
        <v>0.1243055555555556</v>
      </c>
      <c r="I269" s="5">
        <v>0.6020833333333333</v>
      </c>
      <c r="J269" s="4"/>
      <c r="K269" s="4">
        <v>0.1173611111111111</v>
      </c>
      <c r="L269" s="5">
        <f>IF(J269&gt;0,MOD(K269-J269,1),"")</f>
        <v>0.5833333333333334</v>
      </c>
      <c r="M269" s="5">
        <v>0.3541666666666667</v>
      </c>
      <c r="N269" s="5">
        <v>0.5798611111111112</v>
      </c>
      <c r="O269" s="3">
        <v>0</v>
      </c>
      <c r="P269" s="3">
        <v>0</v>
      </c>
      <c r="Q269" s="3" t="s">
        <v>24</v>
      </c>
      <c r="R269" s="3" t="s">
        <v>24</v>
      </c>
      <c r="S269" s="5">
        <f>_xlfn.IFS(F269="2C1",I269,F269="3C1",I269*0.666666666667,F269="3C2",I269*0.333333333333,F269="3CX","",F269="4C1",I269*0.5,F269="4C2",I269*0.5,F269="4C3","",F269="4CR","",F269="2CR","",F269="2CO","",F269="4CX","",TRUE,"")</f>
        <v>0.30104166666666665</v>
      </c>
      <c r="T269" s="3"/>
    </row>
    <row r="270" spans="1:20">
      <c r="A270" s="2">
        <v>45520</v>
      </c>
      <c r="B270" s="3" t="s">
        <v>39</v>
      </c>
      <c r="C270" s="3" t="s">
        <v>20</v>
      </c>
      <c r="D270" s="3" t="s">
        <v>40</v>
      </c>
      <c r="E270" s="3" t="s">
        <v>50</v>
      </c>
      <c r="F270" s="3" t="s">
        <v>51</v>
      </c>
      <c r="G270" s="4">
        <v>0.5256944444444445</v>
      </c>
      <c r="H270" s="4">
        <v>0.08333333333333333</v>
      </c>
      <c r="I270" s="5">
        <v>0.5576388888888889</v>
      </c>
      <c r="J270" s="4"/>
      <c r="K270" s="4">
        <v>0.075</v>
      </c>
      <c r="L270" s="5">
        <f>IF(J270&gt;0,MOD(K270-J270,1),"")</f>
        <v>0.5388888888888889</v>
      </c>
      <c r="M270" s="5">
        <v>0.3541666666666667</v>
      </c>
      <c r="N270" s="5">
        <v>0.5347222222222222</v>
      </c>
      <c r="O270" s="3">
        <v>1</v>
      </c>
      <c r="P270" s="3">
        <v>1</v>
      </c>
      <c r="Q270" s="3" t="s">
        <v>24</v>
      </c>
      <c r="R270" s="3" t="s">
        <v>24</v>
      </c>
      <c r="S270" s="5">
        <f>_xlfn.IFS(F270="2C1",I270,F270="3C1",I270*0.666666666667,F270="3C2",I270*0.333333333333,F270="3CX","",F270="4C1",I270*0.5,F270="4C2",I270*0.5,F270="4C3","",F270="4CR","",F270="2CR","",F270="2CO","",F270="4CX","",TRUE,"")</f>
        <v>0.27881944444444445</v>
      </c>
      <c r="T270" s="3"/>
    </row>
    <row r="271" spans="1:20">
      <c r="A271" s="2">
        <v>45524</v>
      </c>
      <c r="B271" s="3" t="s">
        <v>43</v>
      </c>
      <c r="C271" s="3" t="s">
        <v>40</v>
      </c>
      <c r="D271" s="3" t="s">
        <v>20</v>
      </c>
      <c r="E271" s="3" t="s">
        <v>32</v>
      </c>
      <c r="F271" s="3" t="s">
        <v>48</v>
      </c>
      <c r="G271" s="4">
        <v>0.1965277777777778</v>
      </c>
      <c r="H271" s="4">
        <v>0.8222222222222222</v>
      </c>
      <c r="I271" s="5">
        <v>0.6256944444444444</v>
      </c>
      <c r="J271" s="4"/>
      <c r="K271" s="4">
        <v>0.8166666666666667</v>
      </c>
      <c r="L271" s="5">
        <f>IF(J271&gt;0,MOD(K271-J271,1),"")</f>
        <v>0.6083333333333333</v>
      </c>
      <c r="M271" s="5">
        <v>0.3013888888888889</v>
      </c>
      <c r="N271" s="5">
        <v>0.6041666666666666</v>
      </c>
      <c r="O271" s="3">
        <v>0</v>
      </c>
      <c r="P271" s="3">
        <v>0</v>
      </c>
      <c r="Q271" s="3" t="s">
        <v>24</v>
      </c>
      <c r="R271" s="3" t="s">
        <v>24</v>
      </c>
      <c r="S271" s="5">
        <f>_xlfn.IFS(F271="2C1",I271,F271="3C1",I271*0.666666666667,F271="3C2",I271*0.333333333333,F271="3CX","",F271="4C1",I271*0.5,F271="4C2",I271*0.5,F271="4C3","",F271="4CR","",F271="2CR","",F271="2CO","",F271="4CX","",TRUE,"")</f>
        <v>0.3128472222222222</v>
      </c>
      <c r="T271" s="3"/>
    </row>
    <row r="272" spans="1:20">
      <c r="A272" s="2">
        <v>45529</v>
      </c>
      <c r="B272" s="3" t="s">
        <v>85</v>
      </c>
      <c r="C272" s="3" t="s">
        <v>20</v>
      </c>
      <c r="D272" s="3" t="s">
        <v>86</v>
      </c>
      <c r="E272" s="3" t="s">
        <v>50</v>
      </c>
      <c r="F272" s="3" t="s">
        <v>51</v>
      </c>
      <c r="G272" s="4">
        <v>0.3131944444444444</v>
      </c>
      <c r="H272" s="4">
        <v>0.5423611111111111</v>
      </c>
      <c r="I272" s="5">
        <v>0.2291666666666667</v>
      </c>
      <c r="J272" s="4"/>
      <c r="K272" s="4">
        <v>0.5368055555555555</v>
      </c>
      <c r="L272" s="5">
        <f>IF(J272&gt;0,MOD(K272-J272,1),"")</f>
        <v>0.20972222222222223</v>
      </c>
      <c r="M272" s="5">
        <v>0.02152777777777778</v>
      </c>
      <c r="N272" s="5">
        <v>0.2097222222222222</v>
      </c>
      <c r="O272" s="3">
        <v>1</v>
      </c>
      <c r="P272" s="3">
        <v>1</v>
      </c>
      <c r="Q272" s="3" t="s">
        <v>24</v>
      </c>
      <c r="R272" s="3" t="s">
        <v>24</v>
      </c>
      <c r="S272" s="5">
        <f>_xlfn.IFS(F272="2C1",I272,F272="3C1",I272*0.666666666667,F272="3C2",I272*0.333333333333,F272="3CX","",F272="4C1",I272*0.5,F272="4C2",I272*0.5,F272="4C3","",F272="4CR","",F272="2CR","",F272="2CO","",F272="4CX","",TRUE,"")</f>
        <v>0.11458333333333333</v>
      </c>
      <c r="T272" s="3" t="s">
        <v>133</v>
      </c>
    </row>
    <row r="273" spans="1:20">
      <c r="A273" s="2">
        <v>45530</v>
      </c>
      <c r="B273" s="3" t="s">
        <v>88</v>
      </c>
      <c r="C273" s="3" t="s">
        <v>86</v>
      </c>
      <c r="D273" s="3" t="s">
        <v>20</v>
      </c>
      <c r="E273" s="3" t="s">
        <v>50</v>
      </c>
      <c r="F273" s="3" t="s">
        <v>48</v>
      </c>
      <c r="G273" s="4">
        <v>0.7027777777777777</v>
      </c>
      <c r="H273" s="4">
        <v>0.9458333333333333</v>
      </c>
      <c r="I273" s="5">
        <v>0.2430555555555556</v>
      </c>
      <c r="J273" s="4"/>
      <c r="K273" s="4">
        <v>0.9388888888888889</v>
      </c>
      <c r="L273" s="5">
        <f>IF(J273&gt;0,MOD(K273-J273,1),"")</f>
        <v>0.225</v>
      </c>
      <c r="M273" s="5">
        <v>0.1930555555555556</v>
      </c>
      <c r="N273" s="5">
        <v>0.2222222222222222</v>
      </c>
      <c r="O273" s="3">
        <v>0</v>
      </c>
      <c r="P273" s="3">
        <v>0</v>
      </c>
      <c r="Q273" s="3" t="s">
        <v>24</v>
      </c>
      <c r="R273" s="3" t="s">
        <v>24</v>
      </c>
      <c r="S273" s="5">
        <f>_xlfn.IFS(F273="2C1",I273,F273="3C1",I273*0.666666666667,F273="3C2",I273*0.333333333333,F273="3CX","",F273="4C1",I273*0.5,F273="4C2",I273*0.5,F273="4C3","",F273="4CR","",F273="2CR","",F273="2CO","",F273="4CX","",TRUE,"")</f>
        <v>0.12152777777777778</v>
      </c>
      <c r="T273" s="3"/>
    </row>
    <row r="274" spans="1:20">
      <c r="A274" s="2">
        <v>45538</v>
      </c>
      <c r="B274" s="3" t="s">
        <v>78</v>
      </c>
      <c r="C274" s="3" t="s">
        <v>20</v>
      </c>
      <c r="D274" s="3" t="s">
        <v>79</v>
      </c>
      <c r="E274" s="3" t="s">
        <v>28</v>
      </c>
      <c r="F274" s="3" t="s">
        <v>48</v>
      </c>
      <c r="G274" s="4">
        <v>0.08888888888888889</v>
      </c>
      <c r="H274" s="4">
        <v>0.6819444444444445</v>
      </c>
      <c r="I274" s="5">
        <v>0.5930555555555556</v>
      </c>
      <c r="J274" s="4"/>
      <c r="K274" s="4">
        <v>0.6791666666666667</v>
      </c>
      <c r="L274" s="5">
        <f>IF(J274&gt;0,MOD(K274-J274,1),"")</f>
        <v>0.5694444444444444</v>
      </c>
      <c r="M274" s="5">
        <v>0.1611111111111111</v>
      </c>
      <c r="N274" s="5">
        <v>0.5694444444444444</v>
      </c>
      <c r="O274" s="3">
        <v>0</v>
      </c>
      <c r="P274" s="3">
        <v>0</v>
      </c>
      <c r="Q274" s="3" t="s">
        <v>24</v>
      </c>
      <c r="R274" s="3" t="s">
        <v>24</v>
      </c>
      <c r="S274" s="5">
        <f>_xlfn.IFS(F274="2C1",I274,F274="3C1",I274*0.666666666667,F274="3C2",I274*0.333333333333,F274="3CX","",F274="4C1",I274*0.5,F274="4C2",I274*0.5,F274="4C3","",F274="4CR","",F274="2CR","",F274="2CO","",F274="4CX","",TRUE,"")</f>
        <v>0.2965277777777778</v>
      </c>
      <c r="T274" s="3" t="s">
        <v>134</v>
      </c>
    </row>
    <row r="275" spans="1:20">
      <c r="A275" s="2">
        <v>45540</v>
      </c>
      <c r="B275" s="3" t="s">
        <v>81</v>
      </c>
      <c r="C275" s="3" t="s">
        <v>79</v>
      </c>
      <c r="D275" s="3" t="s">
        <v>20</v>
      </c>
      <c r="E275" s="3" t="s">
        <v>28</v>
      </c>
      <c r="F275" s="3" t="s">
        <v>51</v>
      </c>
      <c r="G275" s="4">
        <v>0.9229166666666667</v>
      </c>
      <c r="H275" s="4">
        <v>0.4069444444444444</v>
      </c>
      <c r="I275" s="5">
        <v>0.4840277777777778</v>
      </c>
      <c r="J275" s="4"/>
      <c r="K275" s="4">
        <v>0.4006944444444445</v>
      </c>
      <c r="L275" s="5">
        <f>IF(J275&gt;0,MOD(K275-J275,1),"")</f>
        <v>0.4638888888888889</v>
      </c>
      <c r="M275" s="5">
        <v>0</v>
      </c>
      <c r="N275" s="5">
        <v>0.4618055555555556</v>
      </c>
      <c r="O275" s="3">
        <v>0</v>
      </c>
      <c r="P275" s="3">
        <v>0</v>
      </c>
      <c r="Q275" s="3" t="s">
        <v>24</v>
      </c>
      <c r="R275" s="3" t="s">
        <v>24</v>
      </c>
      <c r="S275" s="5">
        <f>_xlfn.IFS(F275="2C1",I275,F275="3C1",I275*0.666666666667,F275="3C2",I275*0.333333333333,F275="3CX","",F275="4C1",I275*0.5,F275="4C2",I275*0.5,F275="4C3","",F275="4CR","",F275="2CR","",F275="2CO","",F275="4CX","",TRUE,"")</f>
        <v>0.2420138888888889</v>
      </c>
      <c r="T275" s="3" t="s">
        <v>135</v>
      </c>
    </row>
    <row r="276" spans="1:20">
      <c r="A276" s="6" t="s">
        <v>36</v>
      </c>
      <c r="B276" s="6"/>
      <c r="C276" s="6"/>
      <c r="D276" s="6"/>
      <c r="E276" s="6"/>
      <c r="F276" s="6"/>
      <c r="G276" s="6"/>
      <c r="H276" s="6"/>
      <c r="I276" s="7">
        <f>SUM(I266:I275)</f>
        <v>4.925694444444445</v>
      </c>
      <c r="J276" s="8"/>
      <c r="K276" s="8"/>
      <c r="L276" s="7">
        <f>SUM(L266:L275)</f>
        <v>4.711805555555555</v>
      </c>
      <c r="M276" s="7">
        <f>SUM(M266:M275)</f>
        <v>2.027083333333333</v>
      </c>
      <c r="N276" s="7">
        <f>SUM(N266:N275)</f>
        <v>4.692361111111111</v>
      </c>
      <c r="O276" s="8">
        <f>SUM(O266:O275)</f>
        <v>2</v>
      </c>
      <c r="P276" s="8">
        <f>SUM(P266:P275)</f>
        <v>3</v>
      </c>
      <c r="Q276" s="8"/>
      <c r="R276" s="8"/>
      <c r="S276" s="7">
        <f>SUM(S266:S275)</f>
        <v>2.4625</v>
      </c>
      <c r="T276" s="8"/>
    </row>
    <row r="277" spans="1:20">
      <c r="A277" s="6" t="s">
        <v>37</v>
      </c>
      <c r="B277" s="6"/>
      <c r="C277" s="6"/>
      <c r="D277" s="6"/>
      <c r="E277" s="6"/>
      <c r="F277" s="6"/>
      <c r="G277" s="6"/>
      <c r="H277" s="6"/>
      <c r="I277" s="7">
        <v>596.9159722222222</v>
      </c>
      <c r="J277" s="8"/>
      <c r="K277" s="8"/>
      <c r="L277" s="7"/>
      <c r="M277" s="7">
        <v>217.1527777777778</v>
      </c>
      <c r="N277" s="7">
        <v>447.6409722222222</v>
      </c>
      <c r="O277" s="8">
        <v>1773</v>
      </c>
      <c r="P277" s="8">
        <v>1779</v>
      </c>
      <c r="Q277" s="8"/>
      <c r="R277" s="8"/>
      <c r="S277" s="7">
        <v>276.9291666666667</v>
      </c>
      <c r="T277" s="8"/>
    </row>
    <row r="278" spans="1:20">
      <c r="A278" s="6" t="s">
        <v>38</v>
      </c>
      <c r="B278" s="6"/>
      <c r="C278" s="6"/>
      <c r="D278" s="6"/>
      <c r="E278" s="6"/>
      <c r="F278" s="6"/>
      <c r="G278" s="6"/>
      <c r="H278" s="6"/>
      <c r="I278" s="7">
        <v>601.8416666666667</v>
      </c>
      <c r="J278" s="8"/>
      <c r="K278" s="8"/>
      <c r="L278" s="7"/>
      <c r="M278" s="7">
        <v>219.1798611111111</v>
      </c>
      <c r="N278" s="7">
        <v>452.3333333333333</v>
      </c>
      <c r="O278" s="8">
        <v>1775</v>
      </c>
      <c r="P278" s="8">
        <v>1782</v>
      </c>
      <c r="Q278" s="8"/>
      <c r="R278" s="8"/>
      <c r="S278" s="7">
        <v>279.3916666666667</v>
      </c>
      <c r="T278" s="8"/>
    </row>
    <row r="287" spans="1:20">
      <c r="A287" s="1" t="s">
        <v>0</v>
      </c>
      <c r="B287" s="1" t="s">
        <v>1</v>
      </c>
      <c r="C287" s="1" t="s">
        <v>2</v>
      </c>
      <c r="D287" s="1" t="s">
        <v>3</v>
      </c>
      <c r="E287" s="1" t="s">
        <v>4</v>
      </c>
      <c r="F287" s="1" t="s">
        <v>5</v>
      </c>
      <c r="G287" s="1" t="s">
        <v>6</v>
      </c>
      <c r="H287" s="1" t="s">
        <v>7</v>
      </c>
      <c r="I287" s="1" t="s">
        <v>8</v>
      </c>
      <c r="J287" s="1" t="s">
        <v>3</v>
      </c>
      <c r="K287" s="1" t="s">
        <v>9</v>
      </c>
      <c r="L287" s="1" t="s">
        <v>10</v>
      </c>
      <c r="M287" s="1" t="s">
        <v>11</v>
      </c>
      <c r="N287" s="1" t="s">
        <v>12</v>
      </c>
      <c r="O287" s="1" t="s">
        <v>13</v>
      </c>
      <c r="P287" s="1" t="s">
        <v>14</v>
      </c>
      <c r="Q287" s="1" t="s">
        <v>15</v>
      </c>
      <c r="R287" s="1" t="s">
        <v>16</v>
      </c>
      <c r="S287" s="1" t="s">
        <v>17</v>
      </c>
      <c r="T287" s="1" t="s">
        <v>18</v>
      </c>
    </row>
    <row r="288" spans="1:20">
      <c r="A288" s="2">
        <v>45543</v>
      </c>
      <c r="B288" s="3" t="s">
        <v>39</v>
      </c>
      <c r="C288" s="3" t="s">
        <v>20</v>
      </c>
      <c r="D288" s="3" t="s">
        <v>40</v>
      </c>
      <c r="E288" s="3" t="s">
        <v>44</v>
      </c>
      <c r="F288" s="3" t="s">
        <v>48</v>
      </c>
      <c r="G288" s="4">
        <v>0.525</v>
      </c>
      <c r="H288" s="4">
        <v>0.05763888888888889</v>
      </c>
      <c r="I288" s="5">
        <v>0.5326388888888889</v>
      </c>
      <c r="J288" s="4"/>
      <c r="K288" s="4">
        <v>0.05138888888888889</v>
      </c>
      <c r="L288" s="5">
        <f>IF(J288&gt;0,MOD(K288-J288,1),"")</f>
        <v>0.5159722222222223</v>
      </c>
      <c r="M288" s="5">
        <v>0.3541666666666667</v>
      </c>
      <c r="N288" s="5">
        <v>0.5159722222222223</v>
      </c>
      <c r="O288" s="3">
        <v>0</v>
      </c>
      <c r="P288" s="3">
        <v>0</v>
      </c>
      <c r="Q288" s="3" t="s">
        <v>24</v>
      </c>
      <c r="R288" s="3" t="s">
        <v>24</v>
      </c>
      <c r="S288" s="5">
        <f>_xlfn.IFS(F288="2C1",I288,F288="3C1",I288*0.666666666667,F288="3C2",I288*0.333333333333,F288="3CX","",F288="4C1",I288*0.5,F288="4C2",I288*0.5,F288="4C3","",F288="4CR","",F288="2CR","",F288="2CO","",F288="4CX","",TRUE,"")</f>
        <v>0.26631944444444444</v>
      </c>
      <c r="T288" s="3" t="s">
        <v>136</v>
      </c>
    </row>
    <row r="289" spans="1:20">
      <c r="A289" s="2">
        <v>45544</v>
      </c>
      <c r="B289" s="3" t="s">
        <v>43</v>
      </c>
      <c r="C289" s="3" t="s">
        <v>40</v>
      </c>
      <c r="D289" s="3" t="s">
        <v>20</v>
      </c>
      <c r="E289" s="3" t="s">
        <v>50</v>
      </c>
      <c r="F289" s="3" t="s">
        <v>51</v>
      </c>
      <c r="G289" s="4">
        <v>0.2013888888888889</v>
      </c>
      <c r="H289" s="4">
        <v>0.8361111111111111</v>
      </c>
      <c r="I289" s="5">
        <v>0.6347222222222222</v>
      </c>
      <c r="J289" s="4"/>
      <c r="K289" s="4">
        <v>0.8291666666666667</v>
      </c>
      <c r="L289" s="5">
        <f>IF(J289&gt;0,MOD(K289-J289,1),"")</f>
        <v>0.6166666666666667</v>
      </c>
      <c r="M289" s="5">
        <v>0.3152777777777778</v>
      </c>
      <c r="N289" s="5">
        <v>0.6145833333333334</v>
      </c>
      <c r="O289" s="3">
        <v>1</v>
      </c>
      <c r="P289" s="3">
        <v>1</v>
      </c>
      <c r="Q289" s="3" t="s">
        <v>24</v>
      </c>
      <c r="R289" s="3" t="s">
        <v>24</v>
      </c>
      <c r="S289" s="5">
        <f>_xlfn.IFS(F289="2C1",I289,F289="3C1",I289*0.666666666667,F289="3C2",I289*0.333333333333,F289="3CX","",F289="4C1",I289*0.5,F289="4C2",I289*0.5,F289="4C3","",F289="4CR","",F289="2CR","",F289="2CO","",F289="4CX","",TRUE,"")</f>
        <v>0.3173611111111111</v>
      </c>
      <c r="T289" s="3"/>
    </row>
    <row r="290" spans="1:20">
      <c r="A290" s="2">
        <v>45549</v>
      </c>
      <c r="B290" s="3" t="s">
        <v>56</v>
      </c>
      <c r="C290" s="3" t="s">
        <v>20</v>
      </c>
      <c r="D290" s="3" t="s">
        <v>57</v>
      </c>
      <c r="E290" s="3" t="s">
        <v>44</v>
      </c>
      <c r="F290" s="3" t="s">
        <v>48</v>
      </c>
      <c r="G290" s="4">
        <v>0.1854166666666667</v>
      </c>
      <c r="H290" s="4">
        <v>0.6513888888888889</v>
      </c>
      <c r="I290" s="5">
        <v>0.4659722222222222</v>
      </c>
      <c r="J290" s="4"/>
      <c r="K290" s="4">
        <v>0.6416666666666667</v>
      </c>
      <c r="L290" s="5">
        <f>IF(J290&gt;0,MOD(K290-J290,1),"")</f>
        <v>0.44166666666666665</v>
      </c>
      <c r="M290" s="5">
        <v>0.1305555555555556</v>
      </c>
      <c r="N290" s="5">
        <v>0.4416666666666667</v>
      </c>
      <c r="O290" s="3">
        <v>0</v>
      </c>
      <c r="P290" s="3">
        <v>0</v>
      </c>
      <c r="Q290" s="3" t="s">
        <v>24</v>
      </c>
      <c r="R290" s="3" t="s">
        <v>24</v>
      </c>
      <c r="S290" s="5">
        <f>_xlfn.IFS(F290="2C1",I290,F290="3C1",I290*0.666666666667,F290="3C2",I290*0.333333333333,F290="3CX","",F290="4C1",I290*0.5,F290="4C2",I290*0.5,F290="4C3","",F290="4CR","",F290="2CR","",F290="2CO","",F290="4CX","",TRUE,"")</f>
        <v>0.23298611111111112</v>
      </c>
      <c r="T290" s="3" t="s">
        <v>137</v>
      </c>
    </row>
    <row r="291" spans="1:20">
      <c r="A291" s="2">
        <v>45551</v>
      </c>
      <c r="B291" s="3" t="s">
        <v>60</v>
      </c>
      <c r="C291" s="3" t="s">
        <v>57</v>
      </c>
      <c r="D291" s="3" t="s">
        <v>20</v>
      </c>
      <c r="E291" s="3" t="s">
        <v>32</v>
      </c>
      <c r="F291" s="3" t="s">
        <v>48</v>
      </c>
      <c r="G291" s="4">
        <v>0.7368055555555556</v>
      </c>
      <c r="H291" s="4">
        <v>0.2611111111111111</v>
      </c>
      <c r="I291" s="5">
        <v>0.5243055555555556</v>
      </c>
      <c r="J291" s="4"/>
      <c r="K291" s="4">
        <v>0.2506944444444444</v>
      </c>
      <c r="L291" s="5">
        <f>IF(J291&gt;0,MOD(K291-J291,1),"")</f>
        <v>0.5013888888888889</v>
      </c>
      <c r="M291" s="5">
        <v>0.1590277777777778</v>
      </c>
      <c r="N291" s="5">
        <v>0.5</v>
      </c>
      <c r="O291" s="3">
        <v>0</v>
      </c>
      <c r="P291" s="3">
        <v>0</v>
      </c>
      <c r="Q291" s="3" t="s">
        <v>24</v>
      </c>
      <c r="R291" s="3" t="s">
        <v>24</v>
      </c>
      <c r="S291" s="5">
        <f>_xlfn.IFS(F291="2C1",I291,F291="3C1",I291*0.666666666667,F291="3C2",I291*0.333333333333,F291="3CX","",F291="4C1",I291*0.5,F291="4C2",I291*0.5,F291="4C3","",F291="4CR","",F291="2CR","",F291="2CO","",F291="4CX","",TRUE,"")</f>
        <v>0.2621527777777778</v>
      </c>
      <c r="T291" s="3" t="s">
        <v>138</v>
      </c>
    </row>
    <row r="292" spans="1:20">
      <c r="A292" s="2">
        <v>45554</v>
      </c>
      <c r="B292" s="3" t="s">
        <v>90</v>
      </c>
      <c r="C292" s="3" t="s">
        <v>20</v>
      </c>
      <c r="D292" s="3" t="s">
        <v>91</v>
      </c>
      <c r="E292" s="3" t="s">
        <v>50</v>
      </c>
      <c r="F292" s="3" t="s">
        <v>46</v>
      </c>
      <c r="G292" s="4">
        <v>0.3708333333333333</v>
      </c>
      <c r="H292" s="4">
        <v>0.5993055555555555</v>
      </c>
      <c r="I292" s="5">
        <v>0.2284722222222222</v>
      </c>
      <c r="J292" s="4"/>
      <c r="K292" s="4">
        <v>0.5930555555555556</v>
      </c>
      <c r="L292" s="5">
        <f>IF(J292&gt;0,MOD(K292-J292,1),"")</f>
        <v>0.2076388888888889</v>
      </c>
      <c r="M292" s="5">
        <v>0.07847222222222222</v>
      </c>
      <c r="N292" s="5">
        <v>0.2076388888888889</v>
      </c>
      <c r="O292" s="3">
        <v>1</v>
      </c>
      <c r="P292" s="3">
        <v>1</v>
      </c>
      <c r="Q292" s="3" t="s">
        <v>24</v>
      </c>
      <c r="R292" s="3" t="s">
        <v>24</v>
      </c>
      <c r="S292" s="5">
        <f>_xlfn.IFS(F292="2C1",I292,F292="3C1",I292*0.666666666667,F292="3C2",I292*0.333333333333,F292="3CX","",F292="4C1",I292*0.5,F292="4C2",I292*0.5,F292="4C3","",F292="4CR","",F292="2CR","",F292="2CO","",F292="4CX","",TRUE,"")</f>
        <v>0.22847222222222222</v>
      </c>
      <c r="T292" s="3" t="s">
        <v>139</v>
      </c>
    </row>
    <row r="293" spans="1:20">
      <c r="A293" s="2">
        <v>45556</v>
      </c>
      <c r="B293" s="3" t="s">
        <v>93</v>
      </c>
      <c r="C293" s="3" t="s">
        <v>91</v>
      </c>
      <c r="D293" s="3" t="s">
        <v>20</v>
      </c>
      <c r="E293" s="3" t="s">
        <v>32</v>
      </c>
      <c r="F293" s="3" t="s">
        <v>46</v>
      </c>
      <c r="G293" s="4">
        <v>0.6604166666666667</v>
      </c>
      <c r="H293" s="4">
        <v>0.8840277777777777</v>
      </c>
      <c r="I293" s="5">
        <v>0.2236111111111111</v>
      </c>
      <c r="J293" s="4"/>
      <c r="K293" s="4">
        <v>0.8743055555555556</v>
      </c>
      <c r="L293" s="5">
        <f>IF(J293&gt;0,MOD(K293-J293,1),"")</f>
        <v>0.2013888888888889</v>
      </c>
      <c r="M293" s="5">
        <v>0.2354166666666667</v>
      </c>
      <c r="N293" s="5">
        <v>0.2013888888888889</v>
      </c>
      <c r="O293" s="3">
        <v>0</v>
      </c>
      <c r="P293" s="3">
        <v>0</v>
      </c>
      <c r="Q293" s="3" t="s">
        <v>24</v>
      </c>
      <c r="R293" s="3" t="s">
        <v>24</v>
      </c>
      <c r="S293" s="5">
        <f>_xlfn.IFS(F293="2C1",I293,F293="3C1",I293*0.666666666667,F293="3C2",I293*0.333333333333,F293="3CX","",F293="4C1",I293*0.5,F293="4C2",I293*0.5,F293="4C3","",F293="4CR","",F293="2CR","",F293="2CO","",F293="4CX","",TRUE,"")</f>
        <v>0.22361111111111112</v>
      </c>
      <c r="T293" s="3"/>
    </row>
    <row r="294" spans="1:20">
      <c r="A294" s="2">
        <v>45561</v>
      </c>
      <c r="B294" s="3" t="s">
        <v>78</v>
      </c>
      <c r="C294" s="3" t="s">
        <v>20</v>
      </c>
      <c r="D294" s="3" t="s">
        <v>79</v>
      </c>
      <c r="E294" s="3" t="s">
        <v>28</v>
      </c>
      <c r="F294" s="3" t="s">
        <v>51</v>
      </c>
      <c r="G294" s="4">
        <v>0.07361111111111111</v>
      </c>
      <c r="H294" s="4">
        <v>0.6534722222222222</v>
      </c>
      <c r="I294" s="5">
        <v>0.5798611111111112</v>
      </c>
      <c r="J294" s="4"/>
      <c r="K294" s="4">
        <v>0.6493055555555556</v>
      </c>
      <c r="L294" s="5">
        <f>IF(J294&gt;0,MOD(K294-J294,1),"")</f>
        <v>0.5673611111111111</v>
      </c>
      <c r="M294" s="5">
        <v>0.1326388888888889</v>
      </c>
      <c r="N294" s="5">
        <v>0.5673611111111111</v>
      </c>
      <c r="O294" s="3">
        <v>0</v>
      </c>
      <c r="P294" s="3">
        <v>0</v>
      </c>
      <c r="Q294" s="3" t="s">
        <v>24</v>
      </c>
      <c r="R294" s="3" t="s">
        <v>24</v>
      </c>
      <c r="S294" s="5">
        <f>_xlfn.IFS(F294="2C1",I294,F294="3C1",I294*0.666666666667,F294="3C2",I294*0.333333333333,F294="3CX","",F294="4C1",I294*0.5,F294="4C2",I294*0.5,F294="4C3","",F294="4CR","",F294="2CR","",F294="2CO","",F294="4CX","",TRUE,"")</f>
        <v>0.2899305555555556</v>
      </c>
      <c r="T294" s="3" t="s">
        <v>140</v>
      </c>
    </row>
    <row r="295" spans="1:20">
      <c r="A295" s="2">
        <v>45566</v>
      </c>
      <c r="B295" s="3" t="s">
        <v>81</v>
      </c>
      <c r="C295" s="3" t="s">
        <v>79</v>
      </c>
      <c r="D295" s="3" t="s">
        <v>20</v>
      </c>
      <c r="E295" s="3" t="s">
        <v>28</v>
      </c>
      <c r="F295" s="3" t="s">
        <v>48</v>
      </c>
      <c r="G295" s="4">
        <v>0.7618055555555555</v>
      </c>
      <c r="H295" s="4">
        <v>0.2715277777777778</v>
      </c>
      <c r="I295" s="5">
        <v>0.5097222222222222</v>
      </c>
      <c r="J295" s="4"/>
      <c r="K295" s="4">
        <v>0.2604166666666667</v>
      </c>
      <c r="L295" s="5">
        <f>IF(J295&gt;0,MOD(K295-J295,1),"")</f>
        <v>0.48194444444444445</v>
      </c>
      <c r="M295" s="5">
        <v>0.1340277777777778</v>
      </c>
      <c r="N295" s="5">
        <v>0.4819444444444445</v>
      </c>
      <c r="O295" s="3">
        <v>0</v>
      </c>
      <c r="P295" s="3">
        <v>0</v>
      </c>
      <c r="Q295" s="3" t="s">
        <v>24</v>
      </c>
      <c r="R295" s="3" t="s">
        <v>24</v>
      </c>
      <c r="S295" s="5">
        <f>_xlfn.IFS(F295="2C1",I295,F295="3C1",I295*0.666666666667,F295="3C2",I295*0.333333333333,F295="3CX","",F295="4C1",I295*0.5,F295="4C2",I295*0.5,F295="4C3","",F295="4CR","",F295="2CR","",F295="2CO","",F295="4CX","",TRUE,"")</f>
        <v>0.2548611111111111</v>
      </c>
      <c r="T295" s="3"/>
    </row>
    <row r="296" spans="1:20">
      <c r="A296" s="2">
        <v>45571</v>
      </c>
      <c r="B296" s="3" t="s">
        <v>121</v>
      </c>
      <c r="C296" s="3" t="s">
        <v>20</v>
      </c>
      <c r="D296" s="3" t="s">
        <v>122</v>
      </c>
      <c r="E296" s="3" t="s">
        <v>28</v>
      </c>
      <c r="F296" s="3" t="s">
        <v>48</v>
      </c>
      <c r="G296" s="4">
        <v>0.3819444444444444</v>
      </c>
      <c r="H296" s="4">
        <v>0.8111111111111111</v>
      </c>
      <c r="I296" s="5">
        <v>0.4291666666666666</v>
      </c>
      <c r="J296" s="4"/>
      <c r="K296" s="4">
        <v>0.8020833333333334</v>
      </c>
      <c r="L296" s="5">
        <f>IF(J296&gt;0,MOD(K296-J296,1),"")</f>
        <v>0.4111111111111111</v>
      </c>
      <c r="M296" s="5">
        <v>0.2902777777777778</v>
      </c>
      <c r="N296" s="5">
        <v>0.4097222222222222</v>
      </c>
      <c r="O296" s="3">
        <v>0</v>
      </c>
      <c r="P296" s="3">
        <v>0</v>
      </c>
      <c r="Q296" s="3" t="s">
        <v>24</v>
      </c>
      <c r="R296" s="3" t="s">
        <v>24</v>
      </c>
      <c r="S296" s="5">
        <f>_xlfn.IFS(F296="2C1",I296,F296="3C1",I296*0.666666666667,F296="3C2",I296*0.333333333333,F296="3CX","",F296="4C1",I296*0.5,F296="4C2",I296*0.5,F296="4C3","",F296="4CR","",F296="2CR","",F296="2CO","",F296="4CX","",TRUE,"")</f>
        <v>0.21458333333333332</v>
      </c>
      <c r="T296" s="3" t="s">
        <v>141</v>
      </c>
    </row>
    <row r="297" spans="1:20">
      <c r="A297" s="2">
        <v>45572</v>
      </c>
      <c r="B297" s="3" t="s">
        <v>124</v>
      </c>
      <c r="C297" s="3" t="s">
        <v>122</v>
      </c>
      <c r="D297" s="3" t="s">
        <v>20</v>
      </c>
      <c r="E297" s="3" t="s">
        <v>22</v>
      </c>
      <c r="F297" s="3" t="s">
        <v>51</v>
      </c>
      <c r="G297" s="4">
        <v>0.9194444444444444</v>
      </c>
      <c r="H297" s="4">
        <v>0.4493055555555556</v>
      </c>
      <c r="I297" s="5">
        <v>0.5298611111111111</v>
      </c>
      <c r="J297" s="4"/>
      <c r="K297" s="4">
        <v>0.4395833333333333</v>
      </c>
      <c r="L297" s="5">
        <f>IF(J297&gt;0,MOD(K297-J297,1),"")</f>
        <v>0.5048611111111111</v>
      </c>
      <c r="M297" s="5">
        <v>0</v>
      </c>
      <c r="N297" s="5">
        <v>0.5027777777777778</v>
      </c>
      <c r="O297" s="3">
        <v>0</v>
      </c>
      <c r="P297" s="3">
        <v>0</v>
      </c>
      <c r="Q297" s="3" t="s">
        <v>24</v>
      </c>
      <c r="R297" s="3" t="s">
        <v>24</v>
      </c>
      <c r="S297" s="5">
        <f>_xlfn.IFS(F297="2C1",I297,F297="3C1",I297*0.666666666667,F297="3C2",I297*0.333333333333,F297="3CX","",F297="4C1",I297*0.5,F297="4C2",I297*0.5,F297="4C3","",F297="4CR","",F297="2CR","",F297="2CO","",F297="4CX","",TRUE,"")</f>
        <v>0.26493055555555556</v>
      </c>
      <c r="T297" s="3" t="s">
        <v>135</v>
      </c>
    </row>
    <row r="298" spans="1:20">
      <c r="A298" s="6" t="s">
        <v>36</v>
      </c>
      <c r="B298" s="6"/>
      <c r="C298" s="6"/>
      <c r="D298" s="6"/>
      <c r="E298" s="6"/>
      <c r="F298" s="6"/>
      <c r="G298" s="6"/>
      <c r="H298" s="6"/>
      <c r="I298" s="7">
        <f>SUM(I288:I297)</f>
        <v>4.658333333333333</v>
      </c>
      <c r="J298" s="8"/>
      <c r="K298" s="8"/>
      <c r="L298" s="7">
        <f>SUM(L288:L297)</f>
        <v>4.45</v>
      </c>
      <c r="M298" s="7">
        <f>SUM(M288:M297)</f>
        <v>1.8298611111111112</v>
      </c>
      <c r="N298" s="7">
        <f>SUM(N288:N297)</f>
        <v>4.4430555555555555</v>
      </c>
      <c r="O298" s="8">
        <f>SUM(O288:O297)</f>
        <v>2</v>
      </c>
      <c r="P298" s="8">
        <f>SUM(P288:P297)</f>
        <v>2</v>
      </c>
      <c r="Q298" s="8"/>
      <c r="R298" s="8"/>
      <c r="S298" s="7">
        <f>SUM(S288:S297)</f>
        <v>2.5555555555555554</v>
      </c>
      <c r="T298" s="8"/>
    </row>
    <row r="299" spans="1:20">
      <c r="A299" s="6" t="s">
        <v>37</v>
      </c>
      <c r="B299" s="6"/>
      <c r="C299" s="6"/>
      <c r="D299" s="6"/>
      <c r="E299" s="6"/>
      <c r="F299" s="6"/>
      <c r="G299" s="6"/>
      <c r="H299" s="6"/>
      <c r="I299" s="7">
        <v>601.8416666666667</v>
      </c>
      <c r="J299" s="8"/>
      <c r="K299" s="8"/>
      <c r="L299" s="7"/>
      <c r="M299" s="7">
        <v>219.1798611111111</v>
      </c>
      <c r="N299" s="7">
        <v>452.3333333333333</v>
      </c>
      <c r="O299" s="8">
        <v>1775</v>
      </c>
      <c r="P299" s="8">
        <v>1782</v>
      </c>
      <c r="Q299" s="8"/>
      <c r="R299" s="8"/>
      <c r="S299" s="7">
        <v>279.3916666666667</v>
      </c>
      <c r="T299" s="8"/>
    </row>
    <row r="300" spans="1:20">
      <c r="A300" s="6" t="s">
        <v>38</v>
      </c>
      <c r="B300" s="6"/>
      <c r="C300" s="6"/>
      <c r="D300" s="6"/>
      <c r="E300" s="6"/>
      <c r="F300" s="6"/>
      <c r="G300" s="6"/>
      <c r="H300" s="6"/>
      <c r="I300" s="7">
        <v>606.5</v>
      </c>
      <c r="J300" s="8"/>
      <c r="K300" s="8"/>
      <c r="L300" s="7"/>
      <c r="M300" s="7">
        <v>221.0097222222222</v>
      </c>
      <c r="N300" s="7">
        <v>456.7763888888889</v>
      </c>
      <c r="O300" s="8">
        <v>1777</v>
      </c>
      <c r="P300" s="8">
        <v>1784</v>
      </c>
      <c r="Q300" s="8"/>
      <c r="R300" s="8"/>
      <c r="S300" s="7">
        <v>281.9472222222222</v>
      </c>
      <c r="T300" s="8"/>
    </row>
    <row r="309" spans="1:20">
      <c r="A309" s="1" t="s">
        <v>0</v>
      </c>
      <c r="B309" s="1" t="s">
        <v>1</v>
      </c>
      <c r="C309" s="1" t="s">
        <v>2</v>
      </c>
      <c r="D309" s="1" t="s">
        <v>3</v>
      </c>
      <c r="E309" s="1" t="s">
        <v>4</v>
      </c>
      <c r="F309" s="1" t="s">
        <v>5</v>
      </c>
      <c r="G309" s="1" t="s">
        <v>6</v>
      </c>
      <c r="H309" s="1" t="s">
        <v>7</v>
      </c>
      <c r="I309" s="1" t="s">
        <v>8</v>
      </c>
      <c r="J309" s="1" t="s">
        <v>3</v>
      </c>
      <c r="K309" s="1" t="s">
        <v>9</v>
      </c>
      <c r="L309" s="1" t="s">
        <v>10</v>
      </c>
      <c r="M309" s="1" t="s">
        <v>11</v>
      </c>
      <c r="N309" s="1" t="s">
        <v>12</v>
      </c>
      <c r="O309" s="1" t="s">
        <v>13</v>
      </c>
      <c r="P309" s="1" t="s">
        <v>14</v>
      </c>
      <c r="Q309" s="1" t="s">
        <v>15</v>
      </c>
      <c r="R309" s="1" t="s">
        <v>16</v>
      </c>
      <c r="S309" s="1" t="s">
        <v>17</v>
      </c>
      <c r="T309" s="1" t="s">
        <v>18</v>
      </c>
    </row>
    <row r="310" spans="1:20">
      <c r="A310" s="2">
        <v>45576</v>
      </c>
      <c r="B310" s="3" t="s">
        <v>56</v>
      </c>
      <c r="C310" s="3" t="s">
        <v>20</v>
      </c>
      <c r="D310" s="3" t="s">
        <v>57</v>
      </c>
      <c r="E310" s="3" t="s">
        <v>32</v>
      </c>
      <c r="F310" s="3" t="s">
        <v>51</v>
      </c>
      <c r="G310" s="4">
        <v>0.1729166666666667</v>
      </c>
      <c r="H310" s="4">
        <v>0.6215277777777778</v>
      </c>
      <c r="I310" s="5">
        <v>0.4486111111111111</v>
      </c>
      <c r="J310" s="4"/>
      <c r="K310" s="4">
        <v>0.6131944444444445</v>
      </c>
      <c r="L310" s="5">
        <f>IF(J310&gt;0,MOD(K310-J310,1),"")</f>
        <v>0.42777777777777776</v>
      </c>
      <c r="M310" s="5">
        <v>0.1006944444444444</v>
      </c>
      <c r="N310" s="5">
        <v>0.4277777777777778</v>
      </c>
      <c r="O310" s="3">
        <v>0</v>
      </c>
      <c r="P310" s="3">
        <v>1</v>
      </c>
      <c r="Q310" s="3" t="s">
        <v>27</v>
      </c>
      <c r="R310" s="3" t="s">
        <v>24</v>
      </c>
      <c r="S310" s="5">
        <f>_xlfn.IFS(F310="2C1",I310,F310="3C1",I310*0.666666666667,F310="3C2",I310*0.333333333333,F310="3CX","",F310="4C1",I310*0.5,F310="4C2",I310*0.5,F310="4C3","",F310="4CR","",F310="2CR","",F310="2CO","",F310="4CX","",TRUE,"")</f>
        <v>0.22430555555555556</v>
      </c>
      <c r="T310" s="3" t="s">
        <v>142</v>
      </c>
    </row>
    <row r="311" spans="1:20">
      <c r="A311" s="2">
        <v>45578</v>
      </c>
      <c r="B311" s="3" t="s">
        <v>60</v>
      </c>
      <c r="C311" s="3" t="s">
        <v>57</v>
      </c>
      <c r="D311" s="3" t="s">
        <v>20</v>
      </c>
      <c r="E311" s="3" t="s">
        <v>50</v>
      </c>
      <c r="F311" s="3" t="s">
        <v>48</v>
      </c>
      <c r="G311" s="4">
        <v>0.7423611111111111</v>
      </c>
      <c r="H311" s="4">
        <v>0.2944444444444445</v>
      </c>
      <c r="I311" s="5">
        <v>0.5520833333333334</v>
      </c>
      <c r="J311" s="4"/>
      <c r="K311" s="4">
        <v>0.2881944444444444</v>
      </c>
      <c r="L311" s="5">
        <f>IF(J311&gt;0,MOD(K311-J311,1),"")</f>
        <v>0.5326388888888889</v>
      </c>
      <c r="M311" s="5">
        <v>0.1534722222222222</v>
      </c>
      <c r="N311" s="5">
        <v>0.53125</v>
      </c>
      <c r="O311" s="3">
        <v>0</v>
      </c>
      <c r="P311" s="3">
        <v>0</v>
      </c>
      <c r="Q311" s="3" t="s">
        <v>24</v>
      </c>
      <c r="R311" s="3" t="s">
        <v>24</v>
      </c>
      <c r="S311" s="5">
        <f>_xlfn.IFS(F311="2C1",I311,F311="3C1",I311*0.666666666667,F311="3C2",I311*0.333333333333,F311="3CX","",F311="4C1",I311*0.5,F311="4C2",I311*0.5,F311="4C3","",F311="4CR","",F311="2CR","",F311="2CO","",F311="4CX","",TRUE,"")</f>
        <v>0.2760416666666667</v>
      </c>
      <c r="T311" s="3"/>
    </row>
    <row r="312" spans="1:20">
      <c r="A312" s="2">
        <v>45585</v>
      </c>
      <c r="B312" s="3" t="s">
        <v>56</v>
      </c>
      <c r="C312" s="3" t="s">
        <v>20</v>
      </c>
      <c r="D312" s="3" t="s">
        <v>57</v>
      </c>
      <c r="E312" s="3" t="s">
        <v>50</v>
      </c>
      <c r="F312" s="3" t="s">
        <v>48</v>
      </c>
      <c r="G312" s="4">
        <v>0.1694444444444445</v>
      </c>
      <c r="H312" s="4">
        <v>0.6381944444444444</v>
      </c>
      <c r="I312" s="5">
        <v>0.46875</v>
      </c>
      <c r="J312" s="4"/>
      <c r="K312" s="4">
        <v>0.6305555555555555</v>
      </c>
      <c r="L312" s="5">
        <f>IF(J312&gt;0,MOD(K312-J312,1),"")</f>
        <v>0.4409722222222222</v>
      </c>
      <c r="M312" s="5">
        <v>0.1173611111111111</v>
      </c>
      <c r="N312" s="5">
        <v>0.4409722222222222</v>
      </c>
      <c r="O312" s="3">
        <v>0</v>
      </c>
      <c r="P312" s="3">
        <v>0</v>
      </c>
      <c r="Q312" s="3" t="s">
        <v>24</v>
      </c>
      <c r="R312" s="3" t="s">
        <v>24</v>
      </c>
      <c r="S312" s="5">
        <f>_xlfn.IFS(F312="2C1",I312,F312="3C1",I312*0.666666666667,F312="3C2",I312*0.333333333333,F312="3CX","",F312="4C1",I312*0.5,F312="4C2",I312*0.5,F312="4C3","",F312="4CR","",F312="2CR","",F312="2CO","",F312="4CX","",TRUE,"")</f>
        <v>0.234375</v>
      </c>
      <c r="T312" s="3" t="s">
        <v>143</v>
      </c>
    </row>
    <row r="313" spans="1:20">
      <c r="A313" s="2">
        <v>45587</v>
      </c>
      <c r="B313" s="3" t="s">
        <v>60</v>
      </c>
      <c r="C313" s="3" t="s">
        <v>57</v>
      </c>
      <c r="D313" s="3" t="s">
        <v>20</v>
      </c>
      <c r="E313" s="3" t="s">
        <v>44</v>
      </c>
      <c r="F313" s="3" t="s">
        <v>51</v>
      </c>
      <c r="G313" s="4">
        <v>0.7729166666666667</v>
      </c>
      <c r="H313" s="4">
        <v>0.3104166666666667</v>
      </c>
      <c r="I313" s="5">
        <v>0.5375</v>
      </c>
      <c r="J313" s="4"/>
      <c r="K313" s="4">
        <v>0.3034722222222222</v>
      </c>
      <c r="L313" s="5">
        <f>IF(J313&gt;0,MOD(K313-J313,1),"")</f>
        <v>0.5159722222222223</v>
      </c>
      <c r="M313" s="5">
        <v>0.1229166666666667</v>
      </c>
      <c r="N313" s="5">
        <v>0.5159722222222223</v>
      </c>
      <c r="O313" s="3">
        <v>1</v>
      </c>
      <c r="P313" s="3">
        <v>1</v>
      </c>
      <c r="Q313" s="3" t="s">
        <v>24</v>
      </c>
      <c r="R313" s="3" t="s">
        <v>24</v>
      </c>
      <c r="S313" s="5">
        <f>_xlfn.IFS(F313="2C1",I313,F313="3C1",I313*0.666666666667,F313="3C2",I313*0.333333333333,F313="3CX","",F313="4C1",I313*0.5,F313="4C2",I313*0.5,F313="4C3","",F313="4CR","",F313="2CR","",F313="2CO","",F313="4CX","",TRUE,"")</f>
        <v>0.26875</v>
      </c>
      <c r="T313" s="3" t="s">
        <v>144</v>
      </c>
    </row>
    <row r="314" spans="1:20">
      <c r="A314" s="2">
        <v>45590</v>
      </c>
      <c r="B314" s="3" t="s">
        <v>121</v>
      </c>
      <c r="C314" s="3" t="s">
        <v>20</v>
      </c>
      <c r="D314" s="3" t="s">
        <v>122</v>
      </c>
      <c r="E314" s="3" t="s">
        <v>22</v>
      </c>
      <c r="F314" s="3" t="s">
        <v>51</v>
      </c>
      <c r="G314" s="4">
        <v>0.3520833333333334</v>
      </c>
      <c r="H314" s="4">
        <v>0.7902777777777777</v>
      </c>
      <c r="I314" s="5">
        <v>0.4381944444444444</v>
      </c>
      <c r="J314" s="4"/>
      <c r="K314" s="4">
        <v>0.7784722222222222</v>
      </c>
      <c r="L314" s="5">
        <f>IF(J314&gt;0,MOD(K314-J314,1),"")</f>
        <v>0.4111111111111111</v>
      </c>
      <c r="M314" s="5">
        <v>0.2694444444444444</v>
      </c>
      <c r="N314" s="5">
        <v>0.4111111111111111</v>
      </c>
      <c r="O314" s="3">
        <v>1</v>
      </c>
      <c r="P314" s="3">
        <v>1</v>
      </c>
      <c r="Q314" s="3" t="s">
        <v>24</v>
      </c>
      <c r="R314" s="3" t="s">
        <v>24</v>
      </c>
      <c r="S314" s="5">
        <f>_xlfn.IFS(F314="2C1",I314,F314="3C1",I314*0.666666666667,F314="3C2",I314*0.333333333333,F314="3CX","",F314="4C1",I314*0.5,F314="4C2",I314*0.5,F314="4C3","",F314="4CR","",F314="2CR","",F314="2CO","",F314="4CX","",TRUE,"")</f>
        <v>0.21909722222222222</v>
      </c>
      <c r="T314" s="3" t="s">
        <v>145</v>
      </c>
    </row>
    <row r="315" spans="1:20">
      <c r="A315" s="2">
        <v>45592</v>
      </c>
      <c r="B315" s="3" t="s">
        <v>124</v>
      </c>
      <c r="C315" s="3" t="s">
        <v>122</v>
      </c>
      <c r="D315" s="3" t="s">
        <v>20</v>
      </c>
      <c r="E315" s="3" t="s">
        <v>44</v>
      </c>
      <c r="F315" s="3" t="s">
        <v>48</v>
      </c>
      <c r="G315" s="4">
        <v>0.94375</v>
      </c>
      <c r="H315" s="4">
        <v>0.5027777777777778</v>
      </c>
      <c r="I315" s="5">
        <v>0.5590277777777778</v>
      </c>
      <c r="J315" s="4"/>
      <c r="K315" s="4">
        <v>0.4965277777777778</v>
      </c>
      <c r="L315" s="5">
        <f>IF(J315&gt;0,MOD(K315-J315,1),"")</f>
        <v>0.5388888888888889</v>
      </c>
      <c r="M315" s="5">
        <v>0</v>
      </c>
      <c r="N315" s="5">
        <v>0.5347222222222222</v>
      </c>
      <c r="O315" s="3">
        <v>0</v>
      </c>
      <c r="P315" s="3">
        <v>0</v>
      </c>
      <c r="Q315" s="3" t="s">
        <v>24</v>
      </c>
      <c r="R315" s="3" t="s">
        <v>24</v>
      </c>
      <c r="S315" s="5">
        <f>_xlfn.IFS(F315="2C1",I315,F315="3C1",I315*0.666666666667,F315="3C2",I315*0.333333333333,F315="3CX","",F315="4C1",I315*0.5,F315="4C2",I315*0.5,F315="4C3","",F315="4CR","",F315="2CR","",F315="2CO","",F315="4CX","",TRUE,"")</f>
        <v>0.2795138888888889</v>
      </c>
      <c r="T315" s="3"/>
    </row>
    <row r="316" spans="1:20">
      <c r="A316" s="2">
        <v>45596</v>
      </c>
      <c r="B316" s="3" t="s">
        <v>78</v>
      </c>
      <c r="C316" s="3" t="s">
        <v>20</v>
      </c>
      <c r="D316" s="3" t="s">
        <v>79</v>
      </c>
      <c r="E316" s="3" t="s">
        <v>28</v>
      </c>
      <c r="F316" s="3" t="s">
        <v>51</v>
      </c>
      <c r="G316" s="4">
        <v>0.07361111111111111</v>
      </c>
      <c r="H316" s="4">
        <v>0.6583333333333333</v>
      </c>
      <c r="I316" s="5">
        <v>0.5847222222222223</v>
      </c>
      <c r="J316" s="4"/>
      <c r="K316" s="4">
        <v>0.6520833333333333</v>
      </c>
      <c r="L316" s="5">
        <f>IF(J316&gt;0,MOD(K316-J316,1),"")</f>
        <v>0.5645833333333333</v>
      </c>
      <c r="M316" s="5">
        <v>0.1375</v>
      </c>
      <c r="N316" s="5">
        <v>0.5625</v>
      </c>
      <c r="O316" s="3">
        <v>0</v>
      </c>
      <c r="P316" s="3">
        <v>0</v>
      </c>
      <c r="Q316" s="3" t="s">
        <v>24</v>
      </c>
      <c r="R316" s="3" t="s">
        <v>24</v>
      </c>
      <c r="S316" s="5">
        <f>_xlfn.IFS(F316="2C1",I316,F316="3C1",I316*0.666666666667,F316="3C2",I316*0.333333333333,F316="3CX","",F316="4C1",I316*0.5,F316="4C2",I316*0.5,F316="4C3","",F316="4CR","",F316="2CR","",F316="2CO","",F316="4CX","",TRUE,"")</f>
        <v>0.2923611111111111</v>
      </c>
      <c r="T316" s="3" t="s">
        <v>146</v>
      </c>
    </row>
    <row r="317" spans="1:20">
      <c r="A317" s="2">
        <v>45601</v>
      </c>
      <c r="B317" s="3" t="s">
        <v>81</v>
      </c>
      <c r="C317" s="3" t="s">
        <v>79</v>
      </c>
      <c r="D317" s="3" t="s">
        <v>20</v>
      </c>
      <c r="E317" s="3" t="s">
        <v>28</v>
      </c>
      <c r="F317" s="3" t="s">
        <v>48</v>
      </c>
      <c r="G317" s="4">
        <v>0.7673611111111112</v>
      </c>
      <c r="H317" s="4">
        <v>0.2708333333333333</v>
      </c>
      <c r="I317" s="5">
        <v>0.5034722222222222</v>
      </c>
      <c r="J317" s="4"/>
      <c r="K317" s="4">
        <v>0.2631944444444445</v>
      </c>
      <c r="L317" s="5">
        <f>IF(J317&gt;0,MOD(K317-J317,1),"")</f>
        <v>0.4756944444444444</v>
      </c>
      <c r="M317" s="5">
        <v>0.1284722222222222</v>
      </c>
      <c r="N317" s="5">
        <v>0.4756944444444444</v>
      </c>
      <c r="O317" s="3">
        <v>0</v>
      </c>
      <c r="P317" s="3">
        <v>0</v>
      </c>
      <c r="Q317" s="3" t="s">
        <v>24</v>
      </c>
      <c r="R317" s="3" t="s">
        <v>24</v>
      </c>
      <c r="S317" s="5">
        <f>_xlfn.IFS(F317="2C1",I317,F317="3C1",I317*0.666666666667,F317="3C2",I317*0.333333333333,F317="3CX","",F317="4C1",I317*0.5,F317="4C2",I317*0.5,F317="4C3","",F317="4CR","",F317="2CR","",F317="2CO","",F317="4CX","",TRUE,"")</f>
        <v>0.2517361111111111</v>
      </c>
      <c r="T317" s="3"/>
    </row>
    <row r="318" spans="1:20">
      <c r="A318" s="2">
        <v>45606</v>
      </c>
      <c r="B318" s="3" t="s">
        <v>39</v>
      </c>
      <c r="C318" s="3" t="s">
        <v>20</v>
      </c>
      <c r="D318" s="3" t="s">
        <v>40</v>
      </c>
      <c r="E318" s="3" t="s">
        <v>44</v>
      </c>
      <c r="F318" s="3" t="s">
        <v>48</v>
      </c>
      <c r="G318" s="4">
        <v>0.55</v>
      </c>
      <c r="H318" s="4">
        <v>0.1375</v>
      </c>
      <c r="I318" s="5">
        <v>0.5875</v>
      </c>
      <c r="J318" s="4"/>
      <c r="K318" s="4">
        <v>0.1319444444444444</v>
      </c>
      <c r="L318" s="5">
        <f>IF(J318&gt;0,MOD(K318-J318,1),"")</f>
        <v>0.5708333333333333</v>
      </c>
      <c r="M318" s="5">
        <v>0.3458333333333333</v>
      </c>
      <c r="N318" s="5">
        <v>0.5708333333333333</v>
      </c>
      <c r="O318" s="3">
        <v>0</v>
      </c>
      <c r="P318" s="3">
        <v>0</v>
      </c>
      <c r="Q318" s="3" t="s">
        <v>24</v>
      </c>
      <c r="R318" s="3" t="s">
        <v>24</v>
      </c>
      <c r="S318" s="5">
        <f>_xlfn.IFS(F318="2C1",I318,F318="3C1",I318*0.666666666667,F318="3C2",I318*0.333333333333,F318="3CX","",F318="4C1",I318*0.5,F318="4C2",I318*0.5,F318="4C3","",F318="4CR","",F318="2CR","",F318="2CO","",F318="4CX","",TRUE,"")</f>
        <v>0.29375</v>
      </c>
      <c r="T318" s="3" t="s">
        <v>147</v>
      </c>
    </row>
    <row r="319" spans="1:20">
      <c r="A319" s="2">
        <v>45608</v>
      </c>
      <c r="B319" s="3" t="s">
        <v>43</v>
      </c>
      <c r="C319" s="3" t="s">
        <v>40</v>
      </c>
      <c r="D319" s="3" t="s">
        <v>20</v>
      </c>
      <c r="E319" s="3" t="s">
        <v>32</v>
      </c>
      <c r="F319" s="3" t="s">
        <v>48</v>
      </c>
      <c r="G319" s="4">
        <v>0.2006944444444445</v>
      </c>
      <c r="H319" s="4">
        <v>0.8541666666666666</v>
      </c>
      <c r="I319" s="5">
        <v>0.6534722222222222</v>
      </c>
      <c r="J319" s="4"/>
      <c r="K319" s="4">
        <v>0.8479166666666667</v>
      </c>
      <c r="L319" s="5">
        <f>IF(J319&gt;0,MOD(K319-J319,1),"")</f>
        <v>0.6381944444444444</v>
      </c>
      <c r="M319" s="5">
        <v>0.3333333333333333</v>
      </c>
      <c r="N319" s="5">
        <v>0.6381944444444444</v>
      </c>
      <c r="O319" s="3">
        <v>0</v>
      </c>
      <c r="P319" s="3">
        <v>0</v>
      </c>
      <c r="Q319" s="3" t="s">
        <v>24</v>
      </c>
      <c r="R319" s="3" t="s">
        <v>24</v>
      </c>
      <c r="S319" s="5">
        <f>_xlfn.IFS(F319="2C1",I319,F319="3C1",I319*0.666666666667,F319="3C2",I319*0.333333333333,F319="3CX","",F319="4C1",I319*0.5,F319="4C2",I319*0.5,F319="4C3","",F319="4CR","",F319="2CR","",F319="2CO","",F319="4CX","",TRUE,"")</f>
        <v>0.3267361111111111</v>
      </c>
      <c r="T319" s="3"/>
    </row>
    <row r="320" spans="1:20">
      <c r="A320" s="6" t="s">
        <v>36</v>
      </c>
      <c r="B320" s="6"/>
      <c r="C320" s="6"/>
      <c r="D320" s="6"/>
      <c r="E320" s="6"/>
      <c r="F320" s="6"/>
      <c r="G320" s="6"/>
      <c r="H320" s="6"/>
      <c r="I320" s="7">
        <f>SUM(I310:I319)</f>
        <v>5.333333333333333</v>
      </c>
      <c r="J320" s="8"/>
      <c r="K320" s="8"/>
      <c r="L320" s="7">
        <f>SUM(L310:L319)</f>
        <v>5.116666666666666</v>
      </c>
      <c r="M320" s="7">
        <f>SUM(M310:M319)</f>
        <v>1.7090277777777778</v>
      </c>
      <c r="N320" s="7">
        <f>SUM(N310:N319)</f>
        <v>5.1090277777777775</v>
      </c>
      <c r="O320" s="8">
        <f>SUM(O310:O319)</f>
        <v>2</v>
      </c>
      <c r="P320" s="8">
        <f>SUM(P310:P319)</f>
        <v>3</v>
      </c>
      <c r="Q320" s="8"/>
      <c r="R320" s="8"/>
      <c r="S320" s="7">
        <f>SUM(S310:S319)</f>
        <v>2.6666666666666665</v>
      </c>
      <c r="T320" s="8"/>
    </row>
    <row r="321" spans="1:20">
      <c r="A321" s="6" t="s">
        <v>37</v>
      </c>
      <c r="B321" s="6"/>
      <c r="C321" s="6"/>
      <c r="D321" s="6"/>
      <c r="E321" s="6"/>
      <c r="F321" s="6"/>
      <c r="G321" s="6"/>
      <c r="H321" s="6"/>
      <c r="I321" s="7">
        <v>606.5</v>
      </c>
      <c r="J321" s="8"/>
      <c r="K321" s="8"/>
      <c r="L321" s="7"/>
      <c r="M321" s="7">
        <v>221.0097222222222</v>
      </c>
      <c r="N321" s="7">
        <v>456.7763888888889</v>
      </c>
      <c r="O321" s="8">
        <v>1777</v>
      </c>
      <c r="P321" s="8">
        <v>1784</v>
      </c>
      <c r="Q321" s="8"/>
      <c r="R321" s="8"/>
      <c r="S321" s="7">
        <v>281.9472222222222</v>
      </c>
      <c r="T321" s="8"/>
    </row>
    <row r="322" spans="1:20">
      <c r="A322" s="6" t="s">
        <v>38</v>
      </c>
      <c r="B322" s="6"/>
      <c r="C322" s="6"/>
      <c r="D322" s="6"/>
      <c r="E322" s="6"/>
      <c r="F322" s="6"/>
      <c r="G322" s="6"/>
      <c r="H322" s="6"/>
      <c r="I322" s="7">
        <v>611.8333333333334</v>
      </c>
      <c r="J322" s="8"/>
      <c r="K322" s="8"/>
      <c r="L322" s="7"/>
      <c r="M322" s="7">
        <v>222.71875</v>
      </c>
      <c r="N322" s="7">
        <v>461.8854166666667</v>
      </c>
      <c r="O322" s="8">
        <v>1779</v>
      </c>
      <c r="P322" s="8">
        <v>1787</v>
      </c>
      <c r="Q322" s="8"/>
      <c r="R322" s="8"/>
      <c r="S322" s="7">
        <v>284.6138888888889</v>
      </c>
      <c r="T322" s="8"/>
    </row>
    <row r="331" spans="1:20">
      <c r="A331" s="1" t="s">
        <v>0</v>
      </c>
      <c r="B331" s="1" t="s">
        <v>1</v>
      </c>
      <c r="C331" s="1" t="s">
        <v>2</v>
      </c>
      <c r="D331" s="1" t="s">
        <v>3</v>
      </c>
      <c r="E331" s="1" t="s">
        <v>4</v>
      </c>
      <c r="F331" s="1" t="s">
        <v>5</v>
      </c>
      <c r="G331" s="1" t="s">
        <v>6</v>
      </c>
      <c r="H331" s="1" t="s">
        <v>7</v>
      </c>
      <c r="I331" s="1" t="s">
        <v>8</v>
      </c>
      <c r="J331" s="1" t="s">
        <v>3</v>
      </c>
      <c r="K331" s="1" t="s">
        <v>9</v>
      </c>
      <c r="L331" s="1" t="s">
        <v>10</v>
      </c>
      <c r="M331" s="1" t="s">
        <v>11</v>
      </c>
      <c r="N331" s="1" t="s">
        <v>12</v>
      </c>
      <c r="O331" s="1" t="s">
        <v>13</v>
      </c>
      <c r="P331" s="1" t="s">
        <v>14</v>
      </c>
      <c r="Q331" s="1" t="s">
        <v>15</v>
      </c>
      <c r="R331" s="1" t="s">
        <v>16</v>
      </c>
      <c r="S331" s="1" t="s">
        <v>17</v>
      </c>
      <c r="T331" s="1" t="s">
        <v>18</v>
      </c>
    </row>
    <row r="332" spans="1:20">
      <c r="A332" s="2">
        <v>45613</v>
      </c>
      <c r="B332" s="3" t="s">
        <v>19</v>
      </c>
      <c r="C332" s="3" t="s">
        <v>20</v>
      </c>
      <c r="D332" s="3" t="s">
        <v>21</v>
      </c>
      <c r="E332" s="3" t="s">
        <v>28</v>
      </c>
      <c r="F332" s="3" t="s">
        <v>46</v>
      </c>
      <c r="G332" s="4">
        <v>0.9930555555555556</v>
      </c>
      <c r="H332" s="4">
        <v>0.08819444444444445</v>
      </c>
      <c r="I332" s="5">
        <v>0.09513888888888888</v>
      </c>
      <c r="J332" s="4"/>
      <c r="K332" s="4">
        <v>0.07847222222222222</v>
      </c>
      <c r="L332" s="5">
        <f>IF(J332&gt;0,MOD(K332-J332,1),"")</f>
        <v>0.0763888888888889</v>
      </c>
      <c r="M332" s="5">
        <v>0</v>
      </c>
      <c r="N332" s="5">
        <v>0.0763888888888889</v>
      </c>
      <c r="O332" s="3">
        <v>1</v>
      </c>
      <c r="P332" s="3">
        <v>1</v>
      </c>
      <c r="Q332" s="3" t="s">
        <v>24</v>
      </c>
      <c r="R332" s="3" t="s">
        <v>24</v>
      </c>
      <c r="S332" s="5">
        <f>_xlfn.IFS(F332="2C1",I332,F332="3C1",I332*0.666666666667,F332="3C2",I332*0.333333333333,F332="3CX","",F332="4C1",I332*0.5,F332="4C2",I332*0.5,F332="4C3","",F332="4CR","",F332="2CR","",F332="2CO","",F332="4CX","",TRUE,"")</f>
        <v>0.09513888888888888</v>
      </c>
      <c r="T332" s="3" t="s">
        <v>148</v>
      </c>
    </row>
    <row r="333" spans="1:20">
      <c r="A333" s="2">
        <v>45614</v>
      </c>
      <c r="B333" s="3" t="s">
        <v>26</v>
      </c>
      <c r="C333" s="3" t="s">
        <v>21</v>
      </c>
      <c r="D333" s="3" t="s">
        <v>20</v>
      </c>
      <c r="E333" s="3" t="s">
        <v>28</v>
      </c>
      <c r="F333" s="3" t="s">
        <v>46</v>
      </c>
      <c r="G333" s="4">
        <v>0.1513888888888889</v>
      </c>
      <c r="H333" s="4">
        <v>0.2645833333333333</v>
      </c>
      <c r="I333" s="5">
        <v>0.1131944444444444</v>
      </c>
      <c r="J333" s="4"/>
      <c r="K333" s="4">
        <v>0.2569444444444444</v>
      </c>
      <c r="L333" s="5">
        <f>IF(J333&gt;0,MOD(K333-J333,1),"")</f>
        <v>0.09166666666666666</v>
      </c>
      <c r="M333" s="5">
        <v>0</v>
      </c>
      <c r="N333" s="5">
        <v>0.09027777777777778</v>
      </c>
      <c r="O333" s="3">
        <v>0</v>
      </c>
      <c r="P333" s="3">
        <v>0</v>
      </c>
      <c r="Q333" s="3" t="s">
        <v>24</v>
      </c>
      <c r="R333" s="3" t="s">
        <v>24</v>
      </c>
      <c r="S333" s="5">
        <f>_xlfn.IFS(F333="2C1",I333,F333="3C1",I333*0.666666666667,F333="3C2",I333*0.333333333333,F333="3CX","",F333="4C1",I333*0.5,F333="4C2",I333*0.5,F333="4C3","",F333="4CR","",F333="2CR","",F333="2CO","",F333="4CX","",TRUE,"")</f>
        <v>0.11319444444444444</v>
      </c>
      <c r="T333" s="3"/>
    </row>
    <row r="334" spans="1:20">
      <c r="A334" s="2">
        <v>45615</v>
      </c>
      <c r="B334" s="3" t="s">
        <v>56</v>
      </c>
      <c r="C334" s="3" t="s">
        <v>20</v>
      </c>
      <c r="D334" s="3" t="s">
        <v>57</v>
      </c>
      <c r="E334" s="3" t="s">
        <v>44</v>
      </c>
      <c r="F334" s="3" t="s">
        <v>51</v>
      </c>
      <c r="G334" s="4">
        <v>0.1791666666666667</v>
      </c>
      <c r="H334" s="4">
        <v>0.6354166666666666</v>
      </c>
      <c r="I334" s="5">
        <v>0.45625</v>
      </c>
      <c r="J334" s="4"/>
      <c r="K334" s="4">
        <v>0.6277777777777778</v>
      </c>
      <c r="L334" s="5">
        <f>IF(J334&gt;0,MOD(K334-J334,1),"")</f>
        <v>0.43472222222222223</v>
      </c>
      <c r="M334" s="5">
        <v>0.1145833333333333</v>
      </c>
      <c r="N334" s="5">
        <v>0.4340277777777778</v>
      </c>
      <c r="O334" s="3">
        <v>0</v>
      </c>
      <c r="P334" s="3">
        <v>0</v>
      </c>
      <c r="Q334" s="3" t="s">
        <v>24</v>
      </c>
      <c r="R334" s="3" t="s">
        <v>24</v>
      </c>
      <c r="S334" s="5">
        <f>_xlfn.IFS(F334="2C1",I334,F334="3C1",I334*0.666666666667,F334="3C2",I334*0.333333333333,F334="3CX","",F334="4C1",I334*0.5,F334="4C2",I334*0.5,F334="4C3","",F334="4CR","",F334="2CR","",F334="2CO","",F334="4CX","",TRUE,"")</f>
        <v>0.228125</v>
      </c>
      <c r="T334" s="3" t="s">
        <v>149</v>
      </c>
    </row>
    <row r="335" spans="1:20">
      <c r="A335" s="2">
        <v>45617</v>
      </c>
      <c r="B335" s="3" t="s">
        <v>60</v>
      </c>
      <c r="C335" s="3" t="s">
        <v>57</v>
      </c>
      <c r="D335" s="3" t="s">
        <v>20</v>
      </c>
      <c r="E335" s="3" t="s">
        <v>44</v>
      </c>
      <c r="F335" s="3" t="s">
        <v>48</v>
      </c>
      <c r="G335" s="4">
        <v>0.7416666666666667</v>
      </c>
      <c r="H335" s="4">
        <v>0.2770833333333333</v>
      </c>
      <c r="I335" s="5">
        <v>0.5354166666666667</v>
      </c>
      <c r="J335" s="4"/>
      <c r="K335" s="4">
        <v>0.2708333333333333</v>
      </c>
      <c r="L335" s="5">
        <f>IF(J335&gt;0,MOD(K335-J335,1),"")</f>
        <v>0.5145833333333333</v>
      </c>
      <c r="M335" s="5">
        <v>0.1541666666666667</v>
      </c>
      <c r="N335" s="5">
        <v>0.5069444444444444</v>
      </c>
      <c r="O335" s="3">
        <v>0</v>
      </c>
      <c r="P335" s="3">
        <v>0</v>
      </c>
      <c r="Q335" s="3" t="s">
        <v>24</v>
      </c>
      <c r="R335" s="3" t="s">
        <v>24</v>
      </c>
      <c r="S335" s="5">
        <f>_xlfn.IFS(F335="2C1",I335,F335="3C1",I335*0.666666666667,F335="3C2",I335*0.333333333333,F335="3CX","",F335="4C1",I335*0.5,F335="4C2",I335*0.5,F335="4C3","",F335="4CR","",F335="2CR","",F335="2CO","",F335="4CX","",TRUE,"")</f>
        <v>0.2677083333333333</v>
      </c>
      <c r="T335" s="3"/>
    </row>
    <row r="336" spans="1:20">
      <c r="A336" s="2">
        <v>45636</v>
      </c>
      <c r="B336" s="3" t="s">
        <v>56</v>
      </c>
      <c r="C336" s="3" t="s">
        <v>20</v>
      </c>
      <c r="D336" s="3" t="s">
        <v>57</v>
      </c>
      <c r="E336" s="3" t="s">
        <v>44</v>
      </c>
      <c r="F336" s="3" t="s">
        <v>51</v>
      </c>
      <c r="G336" s="4">
        <v>0.2006944444444445</v>
      </c>
      <c r="H336" s="4">
        <v>0.6326388888888889</v>
      </c>
      <c r="I336" s="5">
        <v>0.4319444444444445</v>
      </c>
      <c r="J336" s="4"/>
      <c r="K336" s="4">
        <v>0.6652777777777777</v>
      </c>
      <c r="L336" s="5">
        <f>IF(J336&gt;0,MOD(K336-J336,1),"")</f>
        <v>0.45069444444444445</v>
      </c>
      <c r="M336" s="5">
        <v>0.1118055555555556</v>
      </c>
      <c r="N336" s="5">
        <v>0.4027777777777778</v>
      </c>
      <c r="O336" s="3">
        <v>1</v>
      </c>
      <c r="P336" s="3">
        <v>1</v>
      </c>
      <c r="Q336" s="3" t="s">
        <v>24</v>
      </c>
      <c r="R336" s="3" t="s">
        <v>24</v>
      </c>
      <c r="S336" s="5">
        <f>_xlfn.IFS(F336="2C1",I336,F336="3C1",I336*0.666666666667,F336="3C2",I336*0.333333333333,F336="3CX","",F336="4C1",I336*0.5,F336="4C2",I336*0.5,F336="4C3","",F336="4CR","",F336="2CR","",F336="2CO","",F336="4CX","",TRUE,"")</f>
        <v>0.21597222222222223</v>
      </c>
      <c r="T336" s="3" t="s">
        <v>150</v>
      </c>
    </row>
    <row r="337" spans="1:20">
      <c r="A337" s="2">
        <v>45638</v>
      </c>
      <c r="B337" s="3" t="s">
        <v>60</v>
      </c>
      <c r="C337" s="3" t="s">
        <v>57</v>
      </c>
      <c r="D337" s="3" t="s">
        <v>20</v>
      </c>
      <c r="E337" s="3" t="s">
        <v>44</v>
      </c>
      <c r="F337" s="3" t="s">
        <v>51</v>
      </c>
      <c r="G337" s="4">
        <v>0.7402777777777778</v>
      </c>
      <c r="H337" s="4">
        <v>0.2993055555555555</v>
      </c>
      <c r="I337" s="5">
        <v>0.5590277777777778</v>
      </c>
      <c r="J337" s="4"/>
      <c r="K337" s="4">
        <v>0.75625</v>
      </c>
      <c r="L337" s="5">
        <f>IF(J337&gt;0,MOD(K337-J337,1),"")</f>
        <v>0.8034722222222223</v>
      </c>
      <c r="M337" s="5">
        <v>0.1555555555555556</v>
      </c>
      <c r="N337" s="5">
        <v>0</v>
      </c>
      <c r="O337" s="3">
        <v>0</v>
      </c>
      <c r="P337" s="3">
        <v>0</v>
      </c>
      <c r="Q337" s="3" t="s">
        <v>24</v>
      </c>
      <c r="R337" s="3" t="s">
        <v>24</v>
      </c>
      <c r="S337" s="5">
        <f>_xlfn.IFS(F337="2C1",I337,F337="3C1",I337*0.666666666667,F337="3C2",I337*0.333333333333,F337="3CX","",F337="4C1",I337*0.5,F337="4C2",I337*0.5,F337="4C3","",F337="4CR","",F337="2CR","",F337="2CO","",F337="4CX","",TRUE,"")</f>
        <v>0.2795138888888889</v>
      </c>
      <c r="T337" s="3"/>
    </row>
    <row r="338" spans="1:20">
      <c r="A338" s="2">
        <v>45653</v>
      </c>
      <c r="B338" s="3" t="s">
        <v>56</v>
      </c>
      <c r="C338" s="3" t="s">
        <v>20</v>
      </c>
      <c r="D338" s="3" t="s">
        <v>57</v>
      </c>
      <c r="E338" s="3" t="s">
        <v>32</v>
      </c>
      <c r="F338" s="3" t="s">
        <v>48</v>
      </c>
      <c r="G338" s="4">
        <v>0.1861111111111111</v>
      </c>
      <c r="H338" s="4">
        <v>0.6048611111111111</v>
      </c>
      <c r="I338" s="5">
        <v>0.41875</v>
      </c>
      <c r="J338" s="4"/>
      <c r="K338" s="4">
        <v>0.5972222222222222</v>
      </c>
      <c r="L338" s="5">
        <f>IF(J338&gt;0,MOD(K338-J338,1),"")</f>
        <v>0.3972222222222222</v>
      </c>
      <c r="M338" s="5">
        <v>0.08402777777777778</v>
      </c>
      <c r="N338" s="5">
        <v>0.3972222222222222</v>
      </c>
      <c r="O338" s="3">
        <v>0</v>
      </c>
      <c r="P338" s="3">
        <v>0</v>
      </c>
      <c r="Q338" s="3" t="s">
        <v>24</v>
      </c>
      <c r="R338" s="3" t="s">
        <v>24</v>
      </c>
      <c r="S338" s="5">
        <f>_xlfn.IFS(F338="2C1",I338,F338="3C1",I338*0.666666666667,F338="3C2",I338*0.333333333333,F338="3CX","",F338="4C1",I338*0.5,F338="4C2",I338*0.5,F338="4C3","",F338="4CR","",F338="2CR","",F338="2CO","",F338="4CX","",TRUE,"")</f>
        <v>0.209375</v>
      </c>
      <c r="T338" s="3" t="s">
        <v>151</v>
      </c>
    </row>
    <row r="339" spans="1:20">
      <c r="A339" s="2">
        <v>45655</v>
      </c>
      <c r="B339" s="3" t="s">
        <v>60</v>
      </c>
      <c r="C339" s="3" t="s">
        <v>57</v>
      </c>
      <c r="D339" s="3" t="s">
        <v>20</v>
      </c>
      <c r="E339" s="3" t="s">
        <v>50</v>
      </c>
      <c r="F339" s="3" t="s">
        <v>48</v>
      </c>
      <c r="G339" s="4">
        <v>0.7430555555555556</v>
      </c>
      <c r="H339" s="4">
        <v>0.2965277777777778</v>
      </c>
      <c r="I339" s="5">
        <v>0.5534722222222223</v>
      </c>
      <c r="J339" s="4"/>
      <c r="K339" s="4">
        <v>0.2909722222222222</v>
      </c>
      <c r="L339" s="5">
        <f>IF(J339&gt;0,MOD(K339-J339,1),"")</f>
        <v>0.5291666666666667</v>
      </c>
      <c r="M339" s="5">
        <v>0.1527777777777778</v>
      </c>
      <c r="N339" s="5">
        <v>0.5284722222222222</v>
      </c>
      <c r="O339" s="3">
        <v>0</v>
      </c>
      <c r="P339" s="3">
        <v>0</v>
      </c>
      <c r="Q339" s="3" t="s">
        <v>24</v>
      </c>
      <c r="R339" s="3" t="s">
        <v>24</v>
      </c>
      <c r="S339" s="5">
        <f>_xlfn.IFS(F339="2C1",I339,F339="3C1",I339*0.666666666667,F339="3C2",I339*0.333333333333,F339="3CX","",F339="4C1",I339*0.5,F339="4C2",I339*0.5,F339="4C3","",F339="4CR","",F339="2CR","",F339="2CO","",F339="4CX","",TRUE,"")</f>
        <v>0.2767361111111111</v>
      </c>
      <c r="T339" s="3"/>
    </row>
    <row r="340" spans="1:20">
      <c r="A340" s="2">
        <v>45662</v>
      </c>
      <c r="B340" s="3" t="s">
        <v>85</v>
      </c>
      <c r="C340" s="3" t="s">
        <v>20</v>
      </c>
      <c r="D340" s="3" t="s">
        <v>86</v>
      </c>
      <c r="E340" s="3" t="s">
        <v>32</v>
      </c>
      <c r="F340" s="3" t="s">
        <v>51</v>
      </c>
      <c r="G340" s="4">
        <v>0.3104166666666667</v>
      </c>
      <c r="H340" s="4">
        <v>0.5854166666666667</v>
      </c>
      <c r="I340" s="5">
        <v>0.275</v>
      </c>
      <c r="J340" s="4"/>
      <c r="K340" s="4">
        <v>0.5798611111111112</v>
      </c>
      <c r="L340" s="5">
        <f>IF(J340&gt;0,MOD(K340-J340,1),"")</f>
        <v>0.25069444444444444</v>
      </c>
      <c r="M340" s="5">
        <v>0.06458333333333334</v>
      </c>
      <c r="N340" s="5">
        <v>0.25</v>
      </c>
      <c r="O340" s="3">
        <v>0</v>
      </c>
      <c r="P340" s="3">
        <v>0</v>
      </c>
      <c r="Q340" s="3" t="s">
        <v>24</v>
      </c>
      <c r="R340" s="3" t="s">
        <v>24</v>
      </c>
      <c r="S340" s="5">
        <f>_xlfn.IFS(F340="2C1",I340,F340="3C1",I340*0.666666666667,F340="3C2",I340*0.333333333333,F340="3CX","",F340="4C1",I340*0.5,F340="4C2",I340*0.5,F340="4C3","",F340="4CR","",F340="2CR","",F340="2CO","",F340="4CX","",TRUE,"")</f>
        <v>0.1375</v>
      </c>
      <c r="T340" s="3" t="s">
        <v>152</v>
      </c>
    </row>
    <row r="341" spans="1:20">
      <c r="A341" s="2">
        <v>45662</v>
      </c>
      <c r="B341" s="3" t="s">
        <v>88</v>
      </c>
      <c r="C341" s="3" t="s">
        <v>86</v>
      </c>
      <c r="D341" s="3" t="s">
        <v>20</v>
      </c>
      <c r="E341" s="3" t="s">
        <v>32</v>
      </c>
      <c r="F341" s="3" t="s">
        <v>48</v>
      </c>
      <c r="G341" s="4">
        <v>0.6965277777777777</v>
      </c>
      <c r="H341" s="4">
        <v>0.9118055555555555</v>
      </c>
      <c r="I341" s="5">
        <v>0.2152777777777778</v>
      </c>
      <c r="J341" s="4"/>
      <c r="K341" s="4">
        <v>0.9055555555555556</v>
      </c>
      <c r="L341" s="5">
        <f>IF(J341&gt;0,MOD(K341-J341,1),"")</f>
        <v>0.11458333333333333</v>
      </c>
      <c r="M341" s="5">
        <v>0.1993055555555556</v>
      </c>
      <c r="N341" s="5">
        <v>0.1979166666666667</v>
      </c>
      <c r="O341" s="3">
        <v>0</v>
      </c>
      <c r="P341" s="3">
        <v>0</v>
      </c>
      <c r="Q341" s="3" t="s">
        <v>24</v>
      </c>
      <c r="R341" s="3" t="s">
        <v>24</v>
      </c>
      <c r="S341" s="5">
        <f>_xlfn.IFS(F341="2C1",I341,F341="3C1",I341*0.666666666667,F341="3C2",I341*0.333333333333,F341="3CX","",F341="4C1",I341*0.5,F341="4C2",I341*0.5,F341="4C3","",F341="4CR","",F341="2CR","",F341="2CO","",F341="4CX","",TRUE,"")</f>
        <v>0.1076388888888889</v>
      </c>
      <c r="T341" s="3"/>
    </row>
    <row r="342" spans="1:20">
      <c r="A342" s="6" t="s">
        <v>36</v>
      </c>
      <c r="B342" s="6"/>
      <c r="C342" s="6"/>
      <c r="D342" s="6"/>
      <c r="E342" s="6"/>
      <c r="F342" s="6"/>
      <c r="G342" s="6"/>
      <c r="H342" s="6"/>
      <c r="I342" s="7">
        <f>SUM(I332:I341)</f>
        <v>3.6534722222222222</v>
      </c>
      <c r="J342" s="8"/>
      <c r="K342" s="8"/>
      <c r="L342" s="7">
        <f>SUM(L332:L341)</f>
        <v>3.6631944444444446</v>
      </c>
      <c r="M342" s="7">
        <f>SUM(M332:M341)</f>
        <v>1.0368055555555555</v>
      </c>
      <c r="N342" s="7">
        <f>SUM(N332:N341)</f>
        <v>2.884027777777778</v>
      </c>
      <c r="O342" s="8">
        <f>SUM(O332:O341)</f>
        <v>2</v>
      </c>
      <c r="P342" s="8">
        <f>SUM(P332:P341)</f>
        <v>2</v>
      </c>
      <c r="Q342" s="8"/>
      <c r="R342" s="8"/>
      <c r="S342" s="7">
        <f>SUM(S332:S341)</f>
        <v>1.9305555555555556</v>
      </c>
      <c r="T342" s="8"/>
    </row>
    <row r="343" spans="1:20">
      <c r="A343" s="6" t="s">
        <v>37</v>
      </c>
      <c r="B343" s="6"/>
      <c r="C343" s="6"/>
      <c r="D343" s="6"/>
      <c r="E343" s="6"/>
      <c r="F343" s="6"/>
      <c r="G343" s="6"/>
      <c r="H343" s="6"/>
      <c r="I343" s="7">
        <v>611.8333333333334</v>
      </c>
      <c r="J343" s="8"/>
      <c r="K343" s="8"/>
      <c r="L343" s="7"/>
      <c r="M343" s="7">
        <v>222.71875</v>
      </c>
      <c r="N343" s="7">
        <v>461.8854166666667</v>
      </c>
      <c r="O343" s="8">
        <v>1779</v>
      </c>
      <c r="P343" s="8">
        <v>1787</v>
      </c>
      <c r="Q343" s="8"/>
      <c r="R343" s="8"/>
      <c r="S343" s="7">
        <v>284.6138888888889</v>
      </c>
      <c r="T343" s="8"/>
    </row>
    <row r="344" spans="1:20">
      <c r="A344" s="6" t="s">
        <v>38</v>
      </c>
      <c r="B344" s="6"/>
      <c r="C344" s="6"/>
      <c r="D344" s="6"/>
      <c r="E344" s="6"/>
      <c r="F344" s="6"/>
      <c r="G344" s="6"/>
      <c r="H344" s="6"/>
      <c r="I344" s="7">
        <v>615.4868055555555</v>
      </c>
      <c r="J344" s="8"/>
      <c r="K344" s="8"/>
      <c r="L344" s="7"/>
      <c r="M344" s="7">
        <v>223.7555555555556</v>
      </c>
      <c r="N344" s="7">
        <v>464.7694444444444</v>
      </c>
      <c r="O344" s="8">
        <v>1781</v>
      </c>
      <c r="P344" s="8">
        <v>1789</v>
      </c>
      <c r="Q344" s="8"/>
      <c r="R344" s="8"/>
      <c r="S344" s="7">
        <v>286.5444444444444</v>
      </c>
      <c r="T344" s="8"/>
    </row>
    <row r="353" spans="1:20">
      <c r="A353" s="1" t="s">
        <v>0</v>
      </c>
      <c r="B353" s="1" t="s">
        <v>1</v>
      </c>
      <c r="C353" s="1" t="s">
        <v>2</v>
      </c>
      <c r="D353" s="1" t="s">
        <v>3</v>
      </c>
      <c r="E353" s="1" t="s">
        <v>4</v>
      </c>
      <c r="F353" s="1" t="s">
        <v>5</v>
      </c>
      <c r="G353" s="1" t="s">
        <v>6</v>
      </c>
      <c r="H353" s="1" t="s">
        <v>7</v>
      </c>
      <c r="I353" s="1" t="s">
        <v>8</v>
      </c>
      <c r="J353" s="1" t="s">
        <v>3</v>
      </c>
      <c r="K353" s="1" t="s">
        <v>9</v>
      </c>
      <c r="L353" s="1" t="s">
        <v>10</v>
      </c>
      <c r="M353" s="1" t="s">
        <v>11</v>
      </c>
      <c r="N353" s="1" t="s">
        <v>12</v>
      </c>
      <c r="O353" s="1" t="s">
        <v>13</v>
      </c>
      <c r="P353" s="1" t="s">
        <v>14</v>
      </c>
      <c r="Q353" s="1" t="s">
        <v>15</v>
      </c>
      <c r="R353" s="1" t="s">
        <v>16</v>
      </c>
      <c r="S353" s="1" t="s">
        <v>17</v>
      </c>
      <c r="T353" s="1" t="s">
        <v>18</v>
      </c>
    </row>
    <row r="354" spans="1:20">
      <c r="A354" s="2">
        <v>45666</v>
      </c>
      <c r="B354" s="3" t="s">
        <v>39</v>
      </c>
      <c r="C354" s="3" t="s">
        <v>20</v>
      </c>
      <c r="D354" s="3" t="s">
        <v>40</v>
      </c>
      <c r="E354" s="3" t="s">
        <v>28</v>
      </c>
      <c r="F354" s="3" t="s">
        <v>48</v>
      </c>
      <c r="G354" s="4">
        <v>0.5659722222222222</v>
      </c>
      <c r="H354" s="4">
        <v>0.1270833333333333</v>
      </c>
      <c r="I354" s="5">
        <v>0.5611111111111111</v>
      </c>
      <c r="J354" s="4"/>
      <c r="K354" s="4">
        <v>0.1194444444444445</v>
      </c>
      <c r="L354" s="5">
        <f>IF(J354&gt;0,MOD(K354-J354,1),"")</f>
        <v>0.5416666666666666</v>
      </c>
      <c r="M354" s="5">
        <v>0.3298611111111111</v>
      </c>
      <c r="N354" s="5">
        <v>0.5381944444444444</v>
      </c>
      <c r="O354" s="3">
        <v>0</v>
      </c>
      <c r="P354" s="3">
        <v>0</v>
      </c>
      <c r="Q354" s="3" t="s">
        <v>24</v>
      </c>
      <c r="R354" s="3" t="s">
        <v>24</v>
      </c>
      <c r="S354" s="5">
        <f>_xlfn.IFS(F354="2C1",I354,F354="3C1",I354*0.666666666667,F354="3C2",I354*0.333333333333,F354="3CX","",F354="4C1",I354*0.5,F354="4C2",I354*0.5,F354="4C3","",F354="4CR","",F354="2CR","",F354="2CO","",F354="4CX","",TRUE,"")</f>
        <v>0.28055555555555556</v>
      </c>
      <c r="T354" s="3" t="s">
        <v>153</v>
      </c>
    </row>
    <row r="355" spans="1:20">
      <c r="A355" s="2">
        <v>45670</v>
      </c>
      <c r="B355" s="3" t="s">
        <v>43</v>
      </c>
      <c r="C355" s="3" t="s">
        <v>40</v>
      </c>
      <c r="D355" s="3" t="s">
        <v>20</v>
      </c>
      <c r="E355" s="3" t="s">
        <v>154</v>
      </c>
      <c r="F355" s="3" t="s">
        <v>51</v>
      </c>
      <c r="G355" s="4">
        <v>0.8111111111111111</v>
      </c>
      <c r="H355" s="4">
        <v>0.4680555555555556</v>
      </c>
      <c r="I355" s="5">
        <v>0.6569444444444444</v>
      </c>
      <c r="J355" s="4"/>
      <c r="K355" s="4">
        <v>0.4604166666666666</v>
      </c>
      <c r="L355" s="5">
        <f>IF(J355&gt;0,MOD(K355-J355,1),"")</f>
        <v>0.6381944444444444</v>
      </c>
      <c r="M355" s="5">
        <v>0.08472222222222223</v>
      </c>
      <c r="N355" s="5">
        <v>0.6381944444444444</v>
      </c>
      <c r="O355" s="3">
        <v>0</v>
      </c>
      <c r="P355" s="3">
        <v>0</v>
      </c>
      <c r="Q355" s="3" t="s">
        <v>24</v>
      </c>
      <c r="R355" s="3" t="s">
        <v>24</v>
      </c>
      <c r="S355" s="5">
        <f>_xlfn.IFS(F355="2C1",I355,F355="3C1",I355*0.666666666667,F355="3C2",I355*0.333333333333,F355="3CX","",F355="4C1",I355*0.5,F355="4C2",I355*0.5,F355="4C3","",F355="4CR","",F355="2CR","",F355="2CO","",F355="4CX","",TRUE,"")</f>
        <v>0.3284722222222222</v>
      </c>
      <c r="T355" s="3"/>
    </row>
    <row r="356" spans="1:20">
      <c r="A356" s="2">
        <v>45674</v>
      </c>
      <c r="B356" s="3" t="s">
        <v>39</v>
      </c>
      <c r="C356" s="3" t="s">
        <v>20</v>
      </c>
      <c r="D356" s="3" t="s">
        <v>40</v>
      </c>
      <c r="E356" s="3" t="s">
        <v>28</v>
      </c>
      <c r="F356" s="3" t="s">
        <v>51</v>
      </c>
      <c r="G356" s="4">
        <v>0.0006944444444444445</v>
      </c>
      <c r="H356" s="4">
        <v>0.55625</v>
      </c>
      <c r="I356" s="5">
        <v>0.5555555555555556</v>
      </c>
      <c r="J356" s="4"/>
      <c r="K356" s="4">
        <v>0.5479166666666667</v>
      </c>
      <c r="L356" s="5">
        <f>IF(J356&gt;0,MOD(K356-J356,1),"")</f>
        <v>0.5361111111111111</v>
      </c>
      <c r="M356" s="5">
        <v>0.03541666666666667</v>
      </c>
      <c r="N356" s="5">
        <v>0.5347222222222222</v>
      </c>
      <c r="O356" s="3">
        <v>1</v>
      </c>
      <c r="P356" s="3">
        <v>1</v>
      </c>
      <c r="Q356" s="3" t="s">
        <v>24</v>
      </c>
      <c r="R356" s="3" t="s">
        <v>24</v>
      </c>
      <c r="S356" s="5">
        <f>_xlfn.IFS(F356="2C1",I356,F356="3C1",I356*0.666666666667,F356="3C2",I356*0.333333333333,F356="3CX","",F356="4C1",I356*0.5,F356="4C2",I356*0.5,F356="4C3","",F356="4CR","",F356="2CR","",F356="2CO","",F356="4CX","",TRUE,"")</f>
        <v>0.2777777777777778</v>
      </c>
      <c r="T356" s="3" t="s">
        <v>155</v>
      </c>
    </row>
    <row r="357" spans="1:20">
      <c r="A357" s="2">
        <v>45677</v>
      </c>
      <c r="B357" s="3" t="s">
        <v>43</v>
      </c>
      <c r="C357" s="3" t="s">
        <v>40</v>
      </c>
      <c r="D357" s="3" t="s">
        <v>20</v>
      </c>
      <c r="E357" s="3" t="s">
        <v>32</v>
      </c>
      <c r="F357" s="3" t="s">
        <v>48</v>
      </c>
      <c r="G357" s="4">
        <v>0.6277777777777778</v>
      </c>
      <c r="H357" s="4">
        <v>0.2840277777777778</v>
      </c>
      <c r="I357" s="5">
        <v>0.65625</v>
      </c>
      <c r="J357" s="4"/>
      <c r="K357" s="4">
        <v>0.2791666666666667</v>
      </c>
      <c r="L357" s="5">
        <f>IF(J357&gt;0,MOD(K357-J357,1),"")</f>
        <v>0.6347222222222222</v>
      </c>
      <c r="M357" s="5">
        <v>0.2680555555555555</v>
      </c>
      <c r="N357" s="5">
        <v>0.6319444444444444</v>
      </c>
      <c r="O357" s="3">
        <v>0</v>
      </c>
      <c r="P357" s="3">
        <v>0</v>
      </c>
      <c r="Q357" s="3" t="s">
        <v>24</v>
      </c>
      <c r="R357" s="3" t="s">
        <v>24</v>
      </c>
      <c r="S357" s="5">
        <f>_xlfn.IFS(F357="2C1",I357,F357="3C1",I357*0.666666666667,F357="3C2",I357*0.333333333333,F357="3CX","",F357="4C1",I357*0.5,F357="4C2",I357*0.5,F357="4C3","",F357="4CR","",F357="2CR","",F357="2CO","",F357="4CX","",TRUE,"")</f>
        <v>0.328125</v>
      </c>
      <c r="T357" s="3" t="s">
        <v>156</v>
      </c>
    </row>
    <row r="358" spans="1:20">
      <c r="A358" s="2">
        <v>45683</v>
      </c>
      <c r="B358" s="3" t="s">
        <v>56</v>
      </c>
      <c r="C358" s="3" t="s">
        <v>20</v>
      </c>
      <c r="D358" s="3" t="s">
        <v>57</v>
      </c>
      <c r="E358" s="3" t="s">
        <v>22</v>
      </c>
      <c r="F358" s="3" t="s">
        <v>48</v>
      </c>
      <c r="G358" s="4">
        <v>0.1840277777777778</v>
      </c>
      <c r="H358" s="4">
        <v>0.6555555555555556</v>
      </c>
      <c r="I358" s="5">
        <v>0.4715277777777778</v>
      </c>
      <c r="J358" s="4"/>
      <c r="K358" s="4">
        <v>0.6506944444444445</v>
      </c>
      <c r="L358" s="5">
        <f>IF(J358&gt;0,MOD(K358-J358,1),"")</f>
        <v>0.45</v>
      </c>
      <c r="M358" s="5">
        <v>0.1347222222222222</v>
      </c>
      <c r="N358" s="5">
        <v>0.45</v>
      </c>
      <c r="O358" s="3">
        <v>0</v>
      </c>
      <c r="P358" s="3">
        <v>0</v>
      </c>
      <c r="Q358" s="3" t="s">
        <v>24</v>
      </c>
      <c r="R358" s="3" t="s">
        <v>24</v>
      </c>
      <c r="S358" s="5">
        <f>_xlfn.IFS(F358="2C1",I358,F358="3C1",I358*0.666666666667,F358="3C2",I358*0.333333333333,F358="3CX","",F358="4C1",I358*0.5,F358="4C2",I358*0.5,F358="4C3","",F358="4CR","",F358="2CR","",F358="2CO","",F358="4CX","",TRUE,"")</f>
        <v>0.23576388888888888</v>
      </c>
      <c r="T358" s="3" t="s">
        <v>157</v>
      </c>
    </row>
    <row r="359" spans="1:20">
      <c r="A359" s="2">
        <v>45685</v>
      </c>
      <c r="B359" s="3" t="s">
        <v>60</v>
      </c>
      <c r="C359" s="3" t="s">
        <v>57</v>
      </c>
      <c r="D359" s="3" t="s">
        <v>20</v>
      </c>
      <c r="E359" s="3" t="s">
        <v>28</v>
      </c>
      <c r="F359" s="3" t="s">
        <v>51</v>
      </c>
      <c r="G359" s="4">
        <v>0.8715277777777778</v>
      </c>
      <c r="H359" s="4">
        <v>0.4881944444444444</v>
      </c>
      <c r="I359" s="5">
        <v>0.6166666666666667</v>
      </c>
      <c r="J359" s="4"/>
      <c r="K359" s="4">
        <v>0.4798611111111111</v>
      </c>
      <c r="L359" s="5">
        <f>IF(J359&gt;0,MOD(K359-J359,1),"")</f>
        <v>0.5930555555555556</v>
      </c>
      <c r="M359" s="5">
        <v>0.02430555555555556</v>
      </c>
      <c r="N359" s="5">
        <v>0.5930555555555556</v>
      </c>
      <c r="O359" s="3">
        <v>0</v>
      </c>
      <c r="P359" s="3">
        <v>0</v>
      </c>
      <c r="Q359" s="3" t="s">
        <v>24</v>
      </c>
      <c r="R359" s="3" t="s">
        <v>24</v>
      </c>
      <c r="S359" s="5">
        <f>_xlfn.IFS(F359="2C1",I359,F359="3C1",I359*0.666666666667,F359="3C2",I359*0.333333333333,F359="3CX","",F359="4C1",I359*0.5,F359="4C2",I359*0.5,F359="4C3","",F359="4CR","",F359="2CR","",F359="2CO","",F359="4CX","",TRUE,"")</f>
        <v>0.30833333333333335</v>
      </c>
      <c r="T359" s="3"/>
    </row>
    <row r="360" spans="1:20">
      <c r="A360" s="2">
        <v>45691</v>
      </c>
      <c r="B360" s="3" t="s">
        <v>39</v>
      </c>
      <c r="C360" s="3" t="s">
        <v>20</v>
      </c>
      <c r="D360" s="3" t="s">
        <v>40</v>
      </c>
      <c r="E360" s="3" t="s">
        <v>32</v>
      </c>
      <c r="F360" s="3" t="s">
        <v>48</v>
      </c>
      <c r="G360" s="4">
        <v>0.5493055555555556</v>
      </c>
      <c r="H360" s="4">
        <v>0.1041666666666667</v>
      </c>
      <c r="I360" s="5">
        <v>0.5548611111111111</v>
      </c>
      <c r="J360" s="4"/>
      <c r="K360" s="4">
        <v>0.09930555555555555</v>
      </c>
      <c r="L360" s="5">
        <f>IF(J360&gt;0,MOD(K360-J360,1),"")</f>
        <v>0.5333333333333333</v>
      </c>
      <c r="M360" s="5">
        <v>0.3465277777777778</v>
      </c>
      <c r="N360" s="5">
        <v>0.2774305555555556</v>
      </c>
      <c r="O360" s="3">
        <v>0</v>
      </c>
      <c r="P360" s="3">
        <v>0</v>
      </c>
      <c r="Q360" s="3" t="s">
        <v>24</v>
      </c>
      <c r="R360" s="3" t="s">
        <v>24</v>
      </c>
      <c r="S360" s="5">
        <f>_xlfn.IFS(F360="2C1",I360,F360="3C1",I360*0.666666666667,F360="3C2",I360*0.333333333333,F360="3CX","",F360="4C1",I360*0.5,F360="4C2",I360*0.5,F360="4C3","",F360="4CR","",F360="2CR","",F360="2CO","",F360="4CX","",TRUE,"")</f>
        <v>0.27743055555555557</v>
      </c>
      <c r="T360" s="3" t="s">
        <v>158</v>
      </c>
    </row>
    <row r="361" spans="1:20">
      <c r="A361" s="2">
        <v>45695</v>
      </c>
      <c r="B361" s="3" t="s">
        <v>43</v>
      </c>
      <c r="C361" s="3" t="s">
        <v>40</v>
      </c>
      <c r="D361" s="3" t="s">
        <v>20</v>
      </c>
      <c r="E361" s="3" t="s">
        <v>22</v>
      </c>
      <c r="F361" s="3" t="s">
        <v>51</v>
      </c>
      <c r="G361" s="4">
        <v>0.2013888888888889</v>
      </c>
      <c r="H361" s="4">
        <v>0.85625</v>
      </c>
      <c r="I361" s="5">
        <v>0.6548611111111111</v>
      </c>
      <c r="J361" s="4"/>
      <c r="K361" s="4">
        <v>0.8493055555555555</v>
      </c>
      <c r="L361" s="5">
        <f>IF(J361&gt;0,MOD(K361-J361,1),"")</f>
        <v>0.6298611111111111</v>
      </c>
      <c r="M361" s="5">
        <v>0.3354166666666666</v>
      </c>
      <c r="N361" s="5">
        <v>0.3274305555555556</v>
      </c>
      <c r="O361" s="3">
        <v>1</v>
      </c>
      <c r="P361" s="3">
        <v>1</v>
      </c>
      <c r="Q361" s="3" t="s">
        <v>24</v>
      </c>
      <c r="R361" s="3" t="s">
        <v>24</v>
      </c>
      <c r="S361" s="5">
        <f>_xlfn.IFS(F361="2C1",I361,F361="3C1",I361*0.666666666667,F361="3C2",I361*0.333333333333,F361="3CX","",F361="4C1",I361*0.5,F361="4C2",I361*0.5,F361="4C3","",F361="4CR","",F361="2CR","",F361="2CO","",F361="4CX","",TRUE,"")</f>
        <v>0.32743055555555556</v>
      </c>
      <c r="T361" s="3"/>
    </row>
    <row r="362" spans="1:20">
      <c r="A362" s="2">
        <v>45700</v>
      </c>
      <c r="B362" s="3" t="s">
        <v>159</v>
      </c>
      <c r="C362" s="3" t="s">
        <v>20</v>
      </c>
      <c r="D362" s="3" t="s">
        <v>160</v>
      </c>
      <c r="E362" s="3" t="s">
        <v>32</v>
      </c>
      <c r="F362" s="3" t="s">
        <v>58</v>
      </c>
      <c r="G362" s="4">
        <v>0.00625</v>
      </c>
      <c r="H362" s="4">
        <v>0.2013888888888889</v>
      </c>
      <c r="I362" s="5">
        <v>0.1951388888888889</v>
      </c>
      <c r="J362" s="4"/>
      <c r="K362" s="4">
        <v>0.1875</v>
      </c>
      <c r="L362" s="5">
        <f>IF(J362&gt;0,MOD(K362-J362,1),"")</f>
        <v>0.1361111111111111</v>
      </c>
      <c r="M362" s="5">
        <v>0</v>
      </c>
      <c r="N362" s="5">
        <v>0.0650462962962963</v>
      </c>
      <c r="O362" s="3">
        <v>0</v>
      </c>
      <c r="P362" s="3">
        <v>0</v>
      </c>
      <c r="Q362" s="3" t="s">
        <v>24</v>
      </c>
      <c r="R362" s="3" t="s">
        <v>24</v>
      </c>
      <c r="S362" s="5">
        <f>_xlfn.IFS(F362="2C1",I362,F362="3C1",I362*0.666666666667,F362="3C2",I362*0.333333333333,F362="3CX","",F362="4C1",I362*0.5,F362="4C2",I362*0.5,F362="4C3","",F362="4CR","",F362="2CR","",F362="2CO","",F362="4CX","",TRUE,"")</f>
        <v>0.0650462962962963</v>
      </c>
      <c r="T362" s="3" t="s">
        <v>161</v>
      </c>
    </row>
    <row r="363" spans="1:20">
      <c r="A363" s="2">
        <v>45700</v>
      </c>
      <c r="B363" s="3" t="s">
        <v>162</v>
      </c>
      <c r="C363" s="3" t="s">
        <v>20</v>
      </c>
      <c r="D363" s="3" t="s">
        <v>160</v>
      </c>
      <c r="E363" s="3" t="s">
        <v>32</v>
      </c>
      <c r="F363" s="3" t="s">
        <v>71</v>
      </c>
      <c r="G363" s="4">
        <v>0.2534722222222222</v>
      </c>
      <c r="H363" s="4">
        <v>0.3958333333333333</v>
      </c>
      <c r="I363" s="5">
        <v>0.1423611111111111</v>
      </c>
      <c r="J363" s="4"/>
      <c r="K363" s="4">
        <v>0.3875</v>
      </c>
      <c r="L363" s="5">
        <f>IF(J363&gt;0,MOD(K363-J363,1),"")</f>
        <v>0.11944444444444445</v>
      </c>
      <c r="M363" s="5">
        <v>0</v>
      </c>
      <c r="N363" s="5">
        <v>0.0949074074074074</v>
      </c>
      <c r="O363" s="3">
        <v>0</v>
      </c>
      <c r="P363" s="3">
        <v>0</v>
      </c>
      <c r="Q363" s="3" t="s">
        <v>24</v>
      </c>
      <c r="R363" s="3" t="s">
        <v>24</v>
      </c>
      <c r="S363" s="5">
        <f>_xlfn.IFS(F363="2C1",I363,F363="3C1",I363*0.666666666667,F363="3C2",I363*0.333333333333,F363="3CX","",F363="4C1",I363*0.5,F363="4C2",I363*0.5,F363="4C3","",F363="4CR","",F363="2CR","",F363="2CO","",F363="4CX","",TRUE,"")</f>
        <v>0.0949074074074074</v>
      </c>
      <c r="T363" s="3"/>
    </row>
    <row r="364" spans="1:20">
      <c r="A364" s="6" t="s">
        <v>36</v>
      </c>
      <c r="B364" s="6"/>
      <c r="C364" s="6"/>
      <c r="D364" s="6"/>
      <c r="E364" s="6"/>
      <c r="F364" s="6"/>
      <c r="G364" s="6"/>
      <c r="H364" s="6"/>
      <c r="I364" s="7">
        <f>SUM(I354:I363)</f>
        <v>5.065277777777778</v>
      </c>
      <c r="J364" s="8"/>
      <c r="K364" s="8"/>
      <c r="L364" s="7">
        <f>SUM(L354:L363)</f>
        <v>4.8125</v>
      </c>
      <c r="M364" s="7">
        <f>SUM(M354:M363)</f>
        <v>1.5590277777777777</v>
      </c>
      <c r="N364" s="7">
        <f>SUM(N354:N363)</f>
        <v>4.1506944444444445</v>
      </c>
      <c r="O364" s="8">
        <f>SUM(O354:O363)</f>
        <v>2</v>
      </c>
      <c r="P364" s="8">
        <f>SUM(P354:P363)</f>
        <v>2</v>
      </c>
      <c r="Q364" s="8"/>
      <c r="R364" s="8"/>
      <c r="S364" s="7">
        <f>SUM(S354:S363)</f>
        <v>2.5236111111111112</v>
      </c>
      <c r="T364" s="8"/>
    </row>
    <row r="365" spans="1:20">
      <c r="A365" s="6" t="s">
        <v>37</v>
      </c>
      <c r="B365" s="6"/>
      <c r="C365" s="6"/>
      <c r="D365" s="6"/>
      <c r="E365" s="6"/>
      <c r="F365" s="6"/>
      <c r="G365" s="6"/>
      <c r="H365" s="6"/>
      <c r="I365" s="7">
        <v>615.4868055555555</v>
      </c>
      <c r="J365" s="8"/>
      <c r="K365" s="8"/>
      <c r="L365" s="7"/>
      <c r="M365" s="7">
        <v>223.7555555555556</v>
      </c>
      <c r="N365" s="7">
        <v>464.7694444444444</v>
      </c>
      <c r="O365" s="8">
        <v>1781</v>
      </c>
      <c r="P365" s="8">
        <v>1789</v>
      </c>
      <c r="Q365" s="8"/>
      <c r="R365" s="8"/>
      <c r="S365" s="7">
        <v>286.5444444444444</v>
      </c>
      <c r="T365" s="8"/>
    </row>
    <row r="366" spans="1:20">
      <c r="A366" s="6" t="s">
        <v>38</v>
      </c>
      <c r="B366" s="6"/>
      <c r="C366" s="6"/>
      <c r="D366" s="6"/>
      <c r="E366" s="6"/>
      <c r="F366" s="6"/>
      <c r="G366" s="6"/>
      <c r="H366" s="6"/>
      <c r="I366" s="7">
        <v>620.5520833333334</v>
      </c>
      <c r="J366" s="8"/>
      <c r="K366" s="8"/>
      <c r="L366" s="7"/>
      <c r="M366" s="7">
        <v>225.3145833333333</v>
      </c>
      <c r="N366" s="7">
        <v>468.9201388888889</v>
      </c>
      <c r="O366" s="8">
        <v>1783</v>
      </c>
      <c r="P366" s="8">
        <v>1791</v>
      </c>
      <c r="Q366" s="8"/>
      <c r="R366" s="8"/>
      <c r="S366" s="7">
        <v>289.0680555555555</v>
      </c>
      <c r="T366" s="8"/>
    </row>
    <row r="375" spans="1:20">
      <c r="A375" s="1" t="s">
        <v>0</v>
      </c>
      <c r="B375" s="1" t="s">
        <v>1</v>
      </c>
      <c r="C375" s="1" t="s">
        <v>2</v>
      </c>
      <c r="D375" s="1" t="s">
        <v>3</v>
      </c>
      <c r="E375" s="1" t="s">
        <v>4</v>
      </c>
      <c r="F375" s="1" t="s">
        <v>5</v>
      </c>
      <c r="G375" s="1" t="s">
        <v>6</v>
      </c>
      <c r="H375" s="1" t="s">
        <v>7</v>
      </c>
      <c r="I375" s="1" t="s">
        <v>8</v>
      </c>
      <c r="J375" s="1" t="s">
        <v>3</v>
      </c>
      <c r="K375" s="1" t="s">
        <v>9</v>
      </c>
      <c r="L375" s="1" t="s">
        <v>10</v>
      </c>
      <c r="M375" s="1" t="s">
        <v>11</v>
      </c>
      <c r="N375" s="1" t="s">
        <v>12</v>
      </c>
      <c r="O375" s="1" t="s">
        <v>13</v>
      </c>
      <c r="P375" s="1" t="s">
        <v>14</v>
      </c>
      <c r="Q375" s="1" t="s">
        <v>15</v>
      </c>
      <c r="R375" s="1" t="s">
        <v>16</v>
      </c>
      <c r="S375" s="1" t="s">
        <v>17</v>
      </c>
      <c r="T375" s="1" t="s">
        <v>18</v>
      </c>
    </row>
    <row r="376" spans="1:20">
      <c r="A376" s="2">
        <v>45706</v>
      </c>
      <c r="B376" s="3" t="s">
        <v>56</v>
      </c>
      <c r="C376" s="3" t="s">
        <v>20</v>
      </c>
      <c r="D376" s="3" t="s">
        <v>57</v>
      </c>
      <c r="E376" s="3" t="s">
        <v>32</v>
      </c>
      <c r="F376" s="3" t="s">
        <v>48</v>
      </c>
      <c r="G376" s="4">
        <v>0.1881944444444444</v>
      </c>
      <c r="H376" s="4">
        <v>0.6340277777777777</v>
      </c>
      <c r="I376" s="5">
        <v>0.4458333333333334</v>
      </c>
      <c r="J376" s="4"/>
      <c r="K376" s="4">
        <v>0.6263888888888889</v>
      </c>
      <c r="L376" s="5">
        <f>IF(J376&gt;0,MOD(K376-J376,1),"")</f>
        <v>0.42430555555555555</v>
      </c>
      <c r="M376" s="5">
        <v>0.1131944444444444</v>
      </c>
      <c r="N376" s="5">
        <v>0.2229166666666667</v>
      </c>
      <c r="O376" s="3">
        <v>0</v>
      </c>
      <c r="P376" s="3">
        <v>0</v>
      </c>
      <c r="Q376" s="3" t="s">
        <v>24</v>
      </c>
      <c r="R376" s="3" t="s">
        <v>24</v>
      </c>
      <c r="S376" s="5">
        <f>_xlfn.IFS(F376="2C1",I376,F376="3C1",I376*0.666666666667,F376="3C2",I376*0.333333333333,F376="3CX","",F376="4C1",I376*0.5,F376="4C2",I376*0.5,F376="4C3","",F376="4CR","",F376="2CR","",F376="2CO","",F376="4CX","",TRUE,"")</f>
        <v>0.22291666666666668</v>
      </c>
      <c r="T376" s="3" t="s">
        <v>163</v>
      </c>
    </row>
    <row r="377" spans="1:20">
      <c r="A377" s="2">
        <v>45708</v>
      </c>
      <c r="B377" s="3" t="s">
        <v>60</v>
      </c>
      <c r="C377" s="3" t="s">
        <v>57</v>
      </c>
      <c r="D377" s="3" t="s">
        <v>20</v>
      </c>
      <c r="E377" s="3" t="s">
        <v>44</v>
      </c>
      <c r="F377" s="3" t="s">
        <v>51</v>
      </c>
      <c r="G377" s="4">
        <v>0.7333333333333333</v>
      </c>
      <c r="H377" s="4">
        <v>0.2888888888888889</v>
      </c>
      <c r="I377" s="5">
        <v>0.5555555555555556</v>
      </c>
      <c r="J377" s="4"/>
      <c r="K377" s="4">
        <v>0.2805555555555556</v>
      </c>
      <c r="L377" s="5">
        <f>IF(J377&gt;0,MOD(K377-J377,1),"")</f>
        <v>0.5208333333333334</v>
      </c>
      <c r="M377" s="5">
        <v>0.1625</v>
      </c>
      <c r="N377" s="5">
        <v>0.2777777777777778</v>
      </c>
      <c r="O377" s="3">
        <v>1</v>
      </c>
      <c r="P377" s="3">
        <v>1</v>
      </c>
      <c r="Q377" s="3" t="s">
        <v>24</v>
      </c>
      <c r="R377" s="3" t="s">
        <v>24</v>
      </c>
      <c r="S377" s="5">
        <f>_xlfn.IFS(F377="2C1",I377,F377="3C1",I377*0.666666666667,F377="3C2",I377*0.333333333333,F377="3CX","",F377="4C1",I377*0.5,F377="4C2",I377*0.5,F377="4C3","",F377="4CR","",F377="2CR","",F377="2CO","",F377="4CX","",TRUE,"")</f>
        <v>0.2777777777777778</v>
      </c>
      <c r="T377" s="3"/>
    </row>
    <row r="378" spans="1:20">
      <c r="A378" s="2">
        <v>45715</v>
      </c>
      <c r="B378" s="3" t="s">
        <v>164</v>
      </c>
      <c r="C378" s="3" t="s">
        <v>20</v>
      </c>
      <c r="D378" s="3" t="s">
        <v>165</v>
      </c>
      <c r="E378" s="3" t="s">
        <v>154</v>
      </c>
      <c r="F378" s="3" t="s">
        <v>46</v>
      </c>
      <c r="G378" s="4">
        <v>0.3743055555555556</v>
      </c>
      <c r="H378" s="4">
        <v>0.5868055555555556</v>
      </c>
      <c r="I378" s="5">
        <v>0.2125</v>
      </c>
      <c r="J378" s="4"/>
      <c r="K378" s="4"/>
      <c r="L378" s="5">
        <f>IF(J378&gt;0,MOD(K378-J378,1),"")</f>
        <v/>
      </c>
      <c r="M378" s="5">
        <v>0.06597222222222222</v>
      </c>
      <c r="N378" s="5">
        <v>0.2125</v>
      </c>
      <c r="O378" s="3">
        <v>1</v>
      </c>
      <c r="P378" s="3">
        <v>1</v>
      </c>
      <c r="Q378" s="3" t="s">
        <v>24</v>
      </c>
      <c r="R378" s="3" t="s">
        <v>24</v>
      </c>
      <c r="S378" s="5">
        <f>_xlfn.IFS(F378="2C1",I378,F378="3C1",I378*0.666666666667,F378="3C2",I378*0.333333333333,F378="3CX","",F378="4C1",I378*0.5,F378="4C2",I378*0.5,F378="4C3","",F378="4CR","",F378="2CR","",F378="2CO","",F378="4CX","",TRUE,"")</f>
        <v>0.2125</v>
      </c>
      <c r="T378" s="3" t="s">
        <v>166</v>
      </c>
    </row>
    <row r="379" spans="1:20">
      <c r="A379" s="2">
        <v>45717</v>
      </c>
      <c r="B379" s="3" t="s">
        <v>167</v>
      </c>
      <c r="C379" s="3" t="s">
        <v>165</v>
      </c>
      <c r="D379" s="3" t="s">
        <v>20</v>
      </c>
      <c r="E379" s="3" t="s">
        <v>154</v>
      </c>
      <c r="F379" s="3" t="s">
        <v>46</v>
      </c>
      <c r="G379" s="4">
        <v>0.7111111111111111</v>
      </c>
      <c r="H379" s="4">
        <v>0.8777777777777778</v>
      </c>
      <c r="I379" s="5">
        <v>0.1666666666666667</v>
      </c>
      <c r="J379" s="4"/>
      <c r="K379" s="4"/>
      <c r="L379" s="5">
        <f>IF(J379&gt;0,MOD(K379-J379,1),"")</f>
        <v/>
      </c>
      <c r="M379" s="5">
        <v>0.1847222222222222</v>
      </c>
      <c r="N379" s="5">
        <v>0.1666666666666667</v>
      </c>
      <c r="O379" s="3">
        <v>0</v>
      </c>
      <c r="P379" s="3">
        <v>0</v>
      </c>
      <c r="Q379" s="3" t="s">
        <v>24</v>
      </c>
      <c r="R379" s="3" t="s">
        <v>24</v>
      </c>
      <c r="S379" s="5">
        <f>_xlfn.IFS(F379="2C1",I379,F379="3C1",I379*0.666666666667,F379="3C2",I379*0.333333333333,F379="3CX","",F379="4C1",I379*0.5,F379="4C2",I379*0.5,F379="4C3","",F379="4CR","",F379="2CR","",F379="2CO","",F379="4CX","",TRUE,"")</f>
        <v>0.16666666666666666</v>
      </c>
      <c r="T379" s="3" t="s">
        <v>166</v>
      </c>
    </row>
    <row r="380" spans="1:20">
      <c r="A380" s="2">
        <v>45724</v>
      </c>
      <c r="B380" s="3" t="s">
        <v>159</v>
      </c>
      <c r="C380" s="3" t="s">
        <v>20</v>
      </c>
      <c r="D380" s="3" t="s">
        <v>160</v>
      </c>
      <c r="E380" s="3" t="s">
        <v>28</v>
      </c>
      <c r="F380" s="3" t="s">
        <v>46</v>
      </c>
      <c r="G380" s="4">
        <v>0.9763888888888889</v>
      </c>
      <c r="H380" s="4">
        <v>0.1513888888888889</v>
      </c>
      <c r="I380" s="5">
        <v>0.175</v>
      </c>
      <c r="J380" s="4"/>
      <c r="K380" s="4"/>
      <c r="L380" s="5">
        <f>IF(J380&gt;0,MOD(K380-J380,1),"")</f>
        <v/>
      </c>
      <c r="M380" s="5">
        <v>0</v>
      </c>
      <c r="N380" s="5">
        <v>0.175</v>
      </c>
      <c r="O380" s="3">
        <v>1</v>
      </c>
      <c r="P380" s="3">
        <v>1</v>
      </c>
      <c r="Q380" s="3" t="s">
        <v>24</v>
      </c>
      <c r="R380" s="3" t="s">
        <v>24</v>
      </c>
      <c r="S380" s="5">
        <f>_xlfn.IFS(F380="2C1",I380,F380="3C1",I380*0.666666666667,F380="3C2",I380*0.333333333333,F380="3CX","",F380="4C1",I380*0.5,F380="4C2",I380*0.5,F380="4C3","",F380="4CR","",F380="2CR","",F380="2CO","",F380="4CX","",TRUE,"")</f>
        <v>0.175</v>
      </c>
      <c r="T380" s="3" t="s">
        <v>168</v>
      </c>
    </row>
    <row r="381" spans="1:20">
      <c r="A381" s="2">
        <v>45725</v>
      </c>
      <c r="B381" s="3" t="s">
        <v>162</v>
      </c>
      <c r="C381" s="3" t="s">
        <v>160</v>
      </c>
      <c r="D381" s="3" t="s">
        <v>20</v>
      </c>
      <c r="E381" s="3" t="s">
        <v>28</v>
      </c>
      <c r="F381" s="3" t="s">
        <v>46</v>
      </c>
      <c r="G381" s="4">
        <v>0.1993055555555556</v>
      </c>
      <c r="H381" s="4">
        <v>0.3444444444444444</v>
      </c>
      <c r="I381" s="5">
        <v>0.1451388888888889</v>
      </c>
      <c r="J381" s="4"/>
      <c r="K381" s="4"/>
      <c r="L381" s="5">
        <f>IF(J381&gt;0,MOD(K381-J381,1),"")</f>
        <v/>
      </c>
      <c r="M381" s="5">
        <v>0</v>
      </c>
      <c r="N381" s="5">
        <v>0.1451388888888889</v>
      </c>
      <c r="O381" s="3">
        <v>0</v>
      </c>
      <c r="P381" s="3">
        <v>0</v>
      </c>
      <c r="Q381" s="3" t="s">
        <v>24</v>
      </c>
      <c r="R381" s="3" t="s">
        <v>24</v>
      </c>
      <c r="S381" s="5">
        <f>_xlfn.IFS(F381="2C1",I381,F381="3C1",I381*0.666666666667,F381="3C2",I381*0.333333333333,F381="3CX","",F381="4C1",I381*0.5,F381="4C2",I381*0.5,F381="4C3","",F381="4CR","",F381="2CR","",F381="2CO","",F381="4CX","",TRUE,"")</f>
        <v>0.1451388888888889</v>
      </c>
      <c r="T381" s="3"/>
    </row>
    <row r="382" spans="1:20">
      <c r="A382" s="2">
        <v>45730</v>
      </c>
      <c r="B382" s="3" t="s">
        <v>39</v>
      </c>
      <c r="C382" s="3" t="s">
        <v>20</v>
      </c>
      <c r="D382" s="3" t="s">
        <v>40</v>
      </c>
      <c r="E382" s="3" t="s">
        <v>154</v>
      </c>
      <c r="F382" s="3" t="s">
        <v>48</v>
      </c>
      <c r="G382" s="4">
        <v>0.5423611111111111</v>
      </c>
      <c r="H382" s="4">
        <v>0.1097222222222222</v>
      </c>
      <c r="I382" s="5">
        <v>0.5673611111111111</v>
      </c>
      <c r="J382" s="4"/>
      <c r="K382" s="4"/>
      <c r="L382" s="5">
        <f>IF(J382&gt;0,MOD(K382-J382,1),"")</f>
        <v/>
      </c>
      <c r="M382" s="5">
        <v>0.3534722222222222</v>
      </c>
      <c r="N382" s="5">
        <v>0.2836805555555555</v>
      </c>
      <c r="O382" s="3">
        <v>0</v>
      </c>
      <c r="P382" s="3">
        <v>0</v>
      </c>
      <c r="Q382" s="3" t="s">
        <v>24</v>
      </c>
      <c r="R382" s="3" t="s">
        <v>24</v>
      </c>
      <c r="S382" s="5">
        <f>_xlfn.IFS(F382="2C1",I382,F382="3C1",I382*0.666666666667,F382="3C2",I382*0.333333333333,F382="3CX","",F382="4C1",I382*0.5,F382="4C2",I382*0.5,F382="4C3","",F382="4CR","",F382="2CR","",F382="2CO","",F382="4CX","",TRUE,"")</f>
        <v>0.28368055555555555</v>
      </c>
      <c r="T382" s="3" t="s">
        <v>169</v>
      </c>
    </row>
    <row r="383" spans="1:20">
      <c r="A383" s="2">
        <v>45734</v>
      </c>
      <c r="B383" s="3" t="s">
        <v>43</v>
      </c>
      <c r="C383" s="3" t="s">
        <v>40</v>
      </c>
      <c r="D383" s="3" t="s">
        <v>20</v>
      </c>
      <c r="E383" s="3" t="s">
        <v>44</v>
      </c>
      <c r="F383" s="3" t="s">
        <v>48</v>
      </c>
      <c r="G383" s="4">
        <v>0.1986111111111111</v>
      </c>
      <c r="H383" s="4">
        <v>0.8180555555555555</v>
      </c>
      <c r="I383" s="5">
        <v>0.6194444444444445</v>
      </c>
      <c r="J383" s="4"/>
      <c r="K383" s="4"/>
      <c r="L383" s="5">
        <f>IF(J383&gt;0,MOD(K383-J383,1),"")</f>
        <v/>
      </c>
      <c r="M383" s="5">
        <v>0.2972222222222222</v>
      </c>
      <c r="N383" s="5">
        <v>0.3097222222222222</v>
      </c>
      <c r="O383" s="3">
        <v>0</v>
      </c>
      <c r="P383" s="3">
        <v>0</v>
      </c>
      <c r="Q383" s="3" t="s">
        <v>24</v>
      </c>
      <c r="R383" s="3" t="s">
        <v>24</v>
      </c>
      <c r="S383" s="5">
        <f>_xlfn.IFS(F383="2C1",I383,F383="3C1",I383*0.666666666667,F383="3C2",I383*0.333333333333,F383="3CX","",F383="4C1",I383*0.5,F383="4C2",I383*0.5,F383="4C3","",F383="4CR","",F383="2CR","",F383="2CO","",F383="4CX","",TRUE,"")</f>
        <v>0.30972222222222223</v>
      </c>
      <c r="T383" s="3"/>
    </row>
    <row r="384" spans="1:20">
      <c r="A384" s="2">
        <v>45744</v>
      </c>
      <c r="B384" s="3" t="s">
        <v>121</v>
      </c>
      <c r="C384" s="3" t="s">
        <v>20</v>
      </c>
      <c r="D384" s="3" t="s">
        <v>122</v>
      </c>
      <c r="E384" s="3" t="s">
        <v>32</v>
      </c>
      <c r="F384" s="3" t="s">
        <v>48</v>
      </c>
      <c r="G384" s="4">
        <v>0.4458333333333334</v>
      </c>
      <c r="H384" s="4">
        <v>0.8902777777777777</v>
      </c>
      <c r="I384" s="5">
        <v>0.4444444444444444</v>
      </c>
      <c r="J384" s="4"/>
      <c r="K384" s="4"/>
      <c r="L384" s="5">
        <f>IF(J384&gt;0,MOD(K384-J384,1),"")</f>
        <v/>
      </c>
      <c r="M384" s="5">
        <v>0.3541666666666667</v>
      </c>
      <c r="N384" s="5">
        <v>0.2222222222222222</v>
      </c>
      <c r="O384" s="3">
        <v>0</v>
      </c>
      <c r="P384" s="3">
        <v>0</v>
      </c>
      <c r="Q384" s="3" t="s">
        <v>24</v>
      </c>
      <c r="R384" s="3" t="s">
        <v>24</v>
      </c>
      <c r="S384" s="5">
        <f>_xlfn.IFS(F384="2C1",I384,F384="3C1",I384*0.666666666667,F384="3C2",I384*0.333333333333,F384="3CX","",F384="4C1",I384*0.5,F384="4C2",I384*0.5,F384="4C3","",F384="4CR","",F384="2CR","",F384="2CO","",F384="4CX","",TRUE,"")</f>
        <v>0.2222222222222222</v>
      </c>
      <c r="T384" s="3" t="s">
        <v>170</v>
      </c>
    </row>
    <row r="385" spans="1:20">
      <c r="A385" s="2">
        <v>45746</v>
      </c>
      <c r="B385" s="3" t="s">
        <v>124</v>
      </c>
      <c r="C385" s="3" t="s">
        <v>122</v>
      </c>
      <c r="D385" s="3" t="s">
        <v>20</v>
      </c>
      <c r="E385" s="3" t="s">
        <v>28</v>
      </c>
      <c r="F385" s="3" t="s">
        <v>51</v>
      </c>
      <c r="G385" s="4">
        <v>0.9354166666666667</v>
      </c>
      <c r="H385" s="4">
        <v>0.4805555555555556</v>
      </c>
      <c r="I385" s="5">
        <v>0.5451388888888888</v>
      </c>
      <c r="J385" s="4"/>
      <c r="K385" s="4"/>
      <c r="L385" s="5">
        <f>IF(J385&gt;0,MOD(K385-J385,1),"")</f>
        <v/>
      </c>
      <c r="M385" s="5">
        <v>0</v>
      </c>
      <c r="N385" s="5">
        <v>0.2725694444444444</v>
      </c>
      <c r="O385" s="3">
        <v>1</v>
      </c>
      <c r="P385" s="3">
        <v>0</v>
      </c>
      <c r="Q385" s="3" t="s">
        <v>24</v>
      </c>
      <c r="R385" s="3" t="s">
        <v>24</v>
      </c>
      <c r="S385" s="5">
        <f>_xlfn.IFS(F385="2C1",I385,F385="3C1",I385*0.666666666667,F385="3C2",I385*0.333333333333,F385="3CX","",F385="4C1",I385*0.5,F385="4C2",I385*0.5,F385="4C3","",F385="4CR","",F385="2CR","",F385="2CO","",F385="4CX","",TRUE,"")</f>
        <v>0.2725694444444444</v>
      </c>
      <c r="T385" s="3"/>
    </row>
    <row r="386" spans="1:20">
      <c r="A386" s="6" t="s">
        <v>36</v>
      </c>
      <c r="B386" s="6"/>
      <c r="C386" s="6"/>
      <c r="D386" s="6"/>
      <c r="E386" s="6"/>
      <c r="F386" s="6"/>
      <c r="G386" s="6"/>
      <c r="H386" s="6"/>
      <c r="I386" s="7">
        <f>SUM(I376:I385)</f>
        <v>3.877083333333333</v>
      </c>
      <c r="J386" s="8"/>
      <c r="K386" s="8"/>
      <c r="L386" s="7">
        <f>SUM(L376:L385)</f>
        <v>0.9451388888888889</v>
      </c>
      <c r="M386" s="7">
        <f>SUM(M376:M385)</f>
        <v>1.53125</v>
      </c>
      <c r="N386" s="7">
        <f>SUM(N376:N385)</f>
        <v>2.2881944444444446</v>
      </c>
      <c r="O386" s="8">
        <f>SUM(O376:O385)</f>
        <v>4</v>
      </c>
      <c r="P386" s="8">
        <f>SUM(P376:P385)</f>
        <v>3</v>
      </c>
      <c r="Q386" s="8"/>
      <c r="R386" s="8"/>
      <c r="S386" s="7">
        <f>SUM(S376:S385)</f>
        <v>2.2881944444444446</v>
      </c>
      <c r="T386" s="8"/>
    </row>
    <row r="387" spans="1:20">
      <c r="A387" s="6" t="s">
        <v>37</v>
      </c>
      <c r="B387" s="6"/>
      <c r="C387" s="6"/>
      <c r="D387" s="6"/>
      <c r="E387" s="6"/>
      <c r="F387" s="6"/>
      <c r="G387" s="6"/>
      <c r="H387" s="6"/>
      <c r="I387" s="7">
        <v>620.5520833333334</v>
      </c>
      <c r="J387" s="8"/>
      <c r="K387" s="8"/>
      <c r="L387" s="7"/>
      <c r="M387" s="7">
        <v>225.3145833333333</v>
      </c>
      <c r="N387" s="7">
        <v>468.9201388888889</v>
      </c>
      <c r="O387" s="8">
        <v>1783</v>
      </c>
      <c r="P387" s="8">
        <v>1791</v>
      </c>
      <c r="Q387" s="8"/>
      <c r="R387" s="8"/>
      <c r="S387" s="7">
        <v>289.0680555555555</v>
      </c>
      <c r="T387" s="8"/>
    </row>
    <row r="388" spans="1:20">
      <c r="A388" s="6" t="s">
        <v>38</v>
      </c>
      <c r="B388" s="6"/>
      <c r="C388" s="6"/>
      <c r="D388" s="6"/>
      <c r="E388" s="6"/>
      <c r="F388" s="6"/>
      <c r="G388" s="6"/>
      <c r="H388" s="6"/>
      <c r="I388" s="7">
        <v>624.4291666666667</v>
      </c>
      <c r="J388" s="8"/>
      <c r="K388" s="8"/>
      <c r="L388" s="7"/>
      <c r="M388" s="7">
        <v>226.8458333333333</v>
      </c>
      <c r="N388" s="7">
        <v>471.2083333333333</v>
      </c>
      <c r="O388" s="8">
        <v>1787</v>
      </c>
      <c r="P388" s="8">
        <v>1794</v>
      </c>
      <c r="Q388" s="8"/>
      <c r="R388" s="8"/>
      <c r="S388" s="7">
        <v>291.35625</v>
      </c>
      <c r="T388" s="8"/>
    </row>
    <row r="397" spans="1:20">
      <c r="A397" s="1" t="s">
        <v>0</v>
      </c>
      <c r="B397" s="1" t="s">
        <v>1</v>
      </c>
      <c r="C397" s="1" t="s">
        <v>2</v>
      </c>
      <c r="D397" s="1" t="s">
        <v>3</v>
      </c>
      <c r="E397" s="1" t="s">
        <v>4</v>
      </c>
      <c r="F397" s="1" t="s">
        <v>5</v>
      </c>
      <c r="G397" s="1" t="s">
        <v>6</v>
      </c>
      <c r="H397" s="1" t="s">
        <v>7</v>
      </c>
      <c r="I397" s="1" t="s">
        <v>8</v>
      </c>
      <c r="J397" s="1" t="s">
        <v>3</v>
      </c>
      <c r="K397" s="1" t="s">
        <v>9</v>
      </c>
      <c r="L397" s="1" t="s">
        <v>10</v>
      </c>
      <c r="M397" s="1" t="s">
        <v>11</v>
      </c>
      <c r="N397" s="1" t="s">
        <v>12</v>
      </c>
      <c r="O397" s="1" t="s">
        <v>13</v>
      </c>
      <c r="P397" s="1" t="s">
        <v>14</v>
      </c>
      <c r="Q397" s="1" t="s">
        <v>15</v>
      </c>
      <c r="R397" s="1" t="s">
        <v>16</v>
      </c>
      <c r="S397" s="1" t="s">
        <v>17</v>
      </c>
      <c r="T397" s="1" t="s">
        <v>18</v>
      </c>
    </row>
    <row r="398" spans="1:20">
      <c r="A398" s="2">
        <v>45753</v>
      </c>
      <c r="B398" s="3" t="s">
        <v>39</v>
      </c>
      <c r="C398" s="3" t="s">
        <v>20</v>
      </c>
      <c r="D398" s="3" t="s">
        <v>40</v>
      </c>
      <c r="E398" s="3" t="s">
        <v>44</v>
      </c>
      <c r="F398" s="3" t="s">
        <v>51</v>
      </c>
      <c r="G398" s="4">
        <v>0.5194444444444445</v>
      </c>
      <c r="H398" s="4">
        <v>0.08819444444444445</v>
      </c>
      <c r="I398" s="5">
        <v>0.56875</v>
      </c>
      <c r="J398" s="4"/>
      <c r="K398" s="4"/>
      <c r="L398" s="5">
        <f>IF(J398&gt;0,MOD(K398-J398,1),"")</f>
        <v/>
      </c>
      <c r="M398" s="5">
        <v>0.3541666666666667</v>
      </c>
      <c r="N398" s="5">
        <v>0.284375</v>
      </c>
      <c r="O398" s="3">
        <v>1</v>
      </c>
      <c r="P398" s="3">
        <v>1</v>
      </c>
      <c r="Q398" s="3" t="s">
        <v>24</v>
      </c>
      <c r="R398" s="3" t="s">
        <v>24</v>
      </c>
      <c r="S398" s="5">
        <f>_xlfn.IFS(F398="2C1",I398,F398="3C1",I398*0.666666666667,F398="3C2",I398*0.333333333333,F398="3CX","",F398="4C1",I398*0.5,F398="4C2",I398*0.5,F398="4C3","",F398="4CR","",F398="2CR","",F398="2CO","",F398="4CX","",TRUE,"")</f>
        <v>0.284375</v>
      </c>
      <c r="T398" s="3" t="s">
        <v>171</v>
      </c>
    </row>
    <row r="399" spans="1:20">
      <c r="A399" s="2">
        <v>45756</v>
      </c>
      <c r="B399" s="3" t="s">
        <v>43</v>
      </c>
      <c r="C399" s="3" t="s">
        <v>40</v>
      </c>
      <c r="D399" s="3" t="s">
        <v>20</v>
      </c>
      <c r="E399" s="3" t="s">
        <v>44</v>
      </c>
      <c r="F399" s="3" t="s">
        <v>48</v>
      </c>
      <c r="G399" s="4">
        <v>0.2097222222222222</v>
      </c>
      <c r="H399" s="4">
        <v>0.8291666666666667</v>
      </c>
      <c r="I399" s="5">
        <v>0.6194444444444445</v>
      </c>
      <c r="J399" s="4"/>
      <c r="K399" s="4"/>
      <c r="L399" s="5">
        <f>IF(J399&gt;0,MOD(K399-J399,1),"")</f>
        <v/>
      </c>
      <c r="M399" s="5">
        <v>0.3083333333333333</v>
      </c>
      <c r="N399" s="5">
        <v>0.3097222222222222</v>
      </c>
      <c r="O399" s="3">
        <v>0</v>
      </c>
      <c r="P399" s="3">
        <v>0</v>
      </c>
      <c r="Q399" s="3" t="s">
        <v>24</v>
      </c>
      <c r="R399" s="3" t="s">
        <v>24</v>
      </c>
      <c r="S399" s="5">
        <f>_xlfn.IFS(F399="2C1",I399,F399="3C1",I399*0.666666666667,F399="3C2",I399*0.333333333333,F399="3CX","",F399="4C1",I399*0.5,F399="4C2",I399*0.5,F399="4C3","",F399="4CR","",F399="2CR","",F399="2CO","",F399="4CX","",TRUE,"")</f>
        <v>0.30972222222222223</v>
      </c>
      <c r="T399" s="3"/>
    </row>
    <row r="400" spans="1:20">
      <c r="A400" s="2">
        <v>45763</v>
      </c>
      <c r="B400" s="3" t="s">
        <v>121</v>
      </c>
      <c r="C400" s="3" t="s">
        <v>20</v>
      </c>
      <c r="D400" s="3" t="s">
        <v>122</v>
      </c>
      <c r="E400" s="3" t="s">
        <v>172</v>
      </c>
      <c r="F400" s="3" t="s">
        <v>48</v>
      </c>
      <c r="G400" s="4">
        <v>0.3875</v>
      </c>
      <c r="H400" s="4">
        <v>0.8319444444444445</v>
      </c>
      <c r="I400" s="5">
        <v>0.4444444444444444</v>
      </c>
      <c r="J400" s="4"/>
      <c r="K400" s="4"/>
      <c r="L400" s="5">
        <f>IF(J400&gt;0,MOD(K400-J400,1),"")</f>
        <v/>
      </c>
      <c r="M400" s="5">
        <v>0.3111111111111111</v>
      </c>
      <c r="N400" s="5">
        <v>0.2222222222222222</v>
      </c>
      <c r="O400" s="3">
        <v>0</v>
      </c>
      <c r="P400" s="3">
        <v>0</v>
      </c>
      <c r="Q400" s="3" t="s">
        <v>24</v>
      </c>
      <c r="R400" s="3" t="s">
        <v>24</v>
      </c>
      <c r="S400" s="5">
        <f>_xlfn.IFS(F400="2C1",I400,F400="3C1",I400*0.666666666667,F400="3C2",I400*0.333333333333,F400="3CX","",F400="4C1",I400*0.5,F400="4C2",I400*0.5,F400="4C3","",F400="4CR","",F400="2CR","",F400="2CO","",F400="4CX","",TRUE,"")</f>
        <v>0.2222222222222222</v>
      </c>
      <c r="T400" s="3" t="s">
        <v>173</v>
      </c>
    </row>
    <row r="401" spans="1:20">
      <c r="A401" s="2">
        <v>45765</v>
      </c>
      <c r="B401" s="3" t="s">
        <v>124</v>
      </c>
      <c r="C401" s="3" t="s">
        <v>122</v>
      </c>
      <c r="D401" s="3" t="s">
        <v>20</v>
      </c>
      <c r="E401" s="3" t="s">
        <v>44</v>
      </c>
      <c r="F401" s="3" t="s">
        <v>48</v>
      </c>
      <c r="G401" s="4">
        <v>0.9277777777777778</v>
      </c>
      <c r="H401" s="4">
        <v>0.4569444444444444</v>
      </c>
      <c r="I401" s="5">
        <v>0.5291666666666667</v>
      </c>
      <c r="J401" s="4"/>
      <c r="K401" s="4"/>
      <c r="L401" s="5">
        <f>IF(J401&gt;0,MOD(K401-J401,1),"")</f>
        <v/>
      </c>
      <c r="M401" s="5">
        <v>0</v>
      </c>
      <c r="N401" s="5">
        <v>0.2645833333333333</v>
      </c>
      <c r="O401" s="3">
        <v>0</v>
      </c>
      <c r="P401" s="3">
        <v>0</v>
      </c>
      <c r="Q401" s="3" t="s">
        <v>24</v>
      </c>
      <c r="R401" s="3" t="s">
        <v>24</v>
      </c>
      <c r="S401" s="5">
        <f>_xlfn.IFS(F401="2C1",I401,F401="3C1",I401*0.666666666667,F401="3C2",I401*0.333333333333,F401="3CX","",F401="4C1",I401*0.5,F401="4C2",I401*0.5,F401="4C3","",F401="4CR","",F401="2CR","",F401="2CO","",F401="4CX","",TRUE,"")</f>
        <v>0.26458333333333334</v>
      </c>
      <c r="T401" s="3"/>
    </row>
    <row r="402" spans="1:20">
      <c r="A402" s="2">
        <v>45781</v>
      </c>
      <c r="B402" s="3" t="s">
        <v>39</v>
      </c>
      <c r="C402" s="3" t="s">
        <v>20</v>
      </c>
      <c r="D402" s="3" t="s">
        <v>40</v>
      </c>
      <c r="E402" s="3" t="s">
        <v>44</v>
      </c>
      <c r="F402" s="3" t="s">
        <v>51</v>
      </c>
      <c r="G402" s="4">
        <v>0.5326388888888889</v>
      </c>
      <c r="H402" s="4">
        <v>0.1013888888888889</v>
      </c>
      <c r="I402" s="5">
        <v>0.56875</v>
      </c>
      <c r="J402" s="4"/>
      <c r="K402" s="4"/>
      <c r="L402" s="5">
        <f>IF(J402&gt;0,MOD(K402-J402,1),"")</f>
        <v/>
      </c>
      <c r="M402" s="5">
        <v>0.3541666666666667</v>
      </c>
      <c r="N402" s="5">
        <v>0.284375</v>
      </c>
      <c r="O402" s="3">
        <v>0</v>
      </c>
      <c r="P402" s="3">
        <v>0</v>
      </c>
      <c r="Q402" s="3" t="s">
        <v>24</v>
      </c>
      <c r="R402" s="3" t="s">
        <v>24</v>
      </c>
      <c r="S402" s="5">
        <f>_xlfn.IFS(F402="2C1",I402,F402="3C1",I402*0.666666666667,F402="3C2",I402*0.333333333333,F402="3CX","",F402="4C1",I402*0.5,F402="4C2",I402*0.5,F402="4C3","",F402="4CR","",F402="2CR","",F402="2CO","",F402="4CX","",TRUE,"")</f>
        <v>0.284375</v>
      </c>
      <c r="T402" s="3" t="s">
        <v>174</v>
      </c>
    </row>
    <row r="403" spans="1:20">
      <c r="A403" s="2">
        <v>45783</v>
      </c>
      <c r="B403" s="3" t="s">
        <v>43</v>
      </c>
      <c r="C403" s="3" t="s">
        <v>40</v>
      </c>
      <c r="D403" s="3" t="s">
        <v>20</v>
      </c>
      <c r="E403" s="3" t="s">
        <v>172</v>
      </c>
      <c r="F403" s="3" t="s">
        <v>48</v>
      </c>
      <c r="G403" s="4">
        <v>0.2076388888888889</v>
      </c>
      <c r="H403" s="4">
        <v>0.8375</v>
      </c>
      <c r="I403" s="5">
        <v>0.6298611111111111</v>
      </c>
      <c r="J403" s="4"/>
      <c r="K403" s="4"/>
      <c r="L403" s="5">
        <f>IF(J403&gt;0,MOD(K403-J403,1),"")</f>
        <v/>
      </c>
      <c r="M403" s="5">
        <v>0.3166666666666667</v>
      </c>
      <c r="N403" s="5">
        <v>0.3149305555555555</v>
      </c>
      <c r="O403" s="3">
        <v>0</v>
      </c>
      <c r="P403" s="3">
        <v>0</v>
      </c>
      <c r="Q403" s="3" t="s">
        <v>24</v>
      </c>
      <c r="R403" s="3" t="s">
        <v>24</v>
      </c>
      <c r="S403" s="5">
        <f>_xlfn.IFS(F403="2C1",I403,F403="3C1",I403*0.666666666667,F403="3C2",I403*0.333333333333,F403="3CX","",F403="4C1",I403*0.5,F403="4C2",I403*0.5,F403="4C3","",F403="4CR","",F403="2CR","",F403="2CO","",F403="4CX","",TRUE,"")</f>
        <v>0.31493055555555555</v>
      </c>
      <c r="T403" s="3"/>
    </row>
    <row r="404" spans="1:20">
      <c r="A404" s="2">
        <v>45792</v>
      </c>
      <c r="B404" s="3" t="s">
        <v>164</v>
      </c>
      <c r="C404" s="3" t="s">
        <v>20</v>
      </c>
      <c r="D404" s="3" t="s">
        <v>165</v>
      </c>
      <c r="E404" s="3" t="s">
        <v>32</v>
      </c>
      <c r="F404" s="3" t="s">
        <v>46</v>
      </c>
      <c r="G404" s="4">
        <v>0.3729166666666667</v>
      </c>
      <c r="H404" s="4">
        <v>0.5576388888888889</v>
      </c>
      <c r="I404" s="5">
        <v>0.1847222222222222</v>
      </c>
      <c r="J404" s="4"/>
      <c r="K404" s="4"/>
      <c r="L404" s="5">
        <f>IF(J404&gt;0,MOD(K404-J404,1),"")</f>
        <v/>
      </c>
      <c r="M404" s="5">
        <v>0.03680555555555556</v>
      </c>
      <c r="N404" s="5">
        <v>0.1847222222222222</v>
      </c>
      <c r="O404" s="3">
        <v>1</v>
      </c>
      <c r="P404" s="3">
        <v>1</v>
      </c>
      <c r="Q404" s="3" t="s">
        <v>24</v>
      </c>
      <c r="R404" s="3" t="s">
        <v>24</v>
      </c>
      <c r="S404" s="5">
        <f>_xlfn.IFS(F404="2C1",I404,F404="3C1",I404*0.666666666667,F404="3C2",I404*0.333333333333,F404="3CX","",F404="4C1",I404*0.5,F404="4C2",I404*0.5,F404="4C3","",F404="4CR","",F404="2CR","",F404="2CO","",F404="4CX","",TRUE,"")</f>
        <v>0.18472222222222223</v>
      </c>
      <c r="T404" s="3" t="s">
        <v>175</v>
      </c>
    </row>
    <row r="405" spans="1:20">
      <c r="A405" s="2">
        <v>45794</v>
      </c>
      <c r="B405" s="3" t="s">
        <v>167</v>
      </c>
      <c r="C405" s="3" t="s">
        <v>165</v>
      </c>
      <c r="D405" s="3" t="s">
        <v>20</v>
      </c>
      <c r="E405" s="3" t="s">
        <v>28</v>
      </c>
      <c r="F405" s="3" t="s">
        <v>46</v>
      </c>
      <c r="G405" s="4">
        <v>0.6555555555555556</v>
      </c>
      <c r="H405" s="4">
        <v>0.8354166666666667</v>
      </c>
      <c r="I405" s="5">
        <v>0.1798611111111111</v>
      </c>
      <c r="J405" s="4"/>
      <c r="K405" s="4"/>
      <c r="L405" s="5">
        <f>IF(J405&gt;0,MOD(K405-J405,1),"")</f>
        <v/>
      </c>
      <c r="M405" s="5">
        <v>0.2006944444444445</v>
      </c>
      <c r="N405" s="5">
        <v>0.1798611111111111</v>
      </c>
      <c r="O405" s="3">
        <v>0</v>
      </c>
      <c r="P405" s="3">
        <v>0</v>
      </c>
      <c r="Q405" s="3" t="s">
        <v>24</v>
      </c>
      <c r="R405" s="3" t="s">
        <v>24</v>
      </c>
      <c r="S405" s="5">
        <f>_xlfn.IFS(F405="2C1",I405,F405="3C1",I405*0.666666666667,F405="3C2",I405*0.333333333333,F405="3CX","",F405="4C1",I405*0.5,F405="4C2",I405*0.5,F405="4C3","",F405="4CR","",F405="2CR","",F405="2CO","",F405="4CX","",TRUE,"")</f>
        <v>0.1798611111111111</v>
      </c>
      <c r="T405" s="3"/>
    </row>
    <row r="406" spans="1:20">
      <c r="A406" s="2">
        <v>45803</v>
      </c>
      <c r="B406" s="3" t="s">
        <v>39</v>
      </c>
      <c r="C406" s="3" t="s">
        <v>20</v>
      </c>
      <c r="D406" s="3" t="s">
        <v>40</v>
      </c>
      <c r="E406" s="3" t="s">
        <v>172</v>
      </c>
      <c r="F406" s="3" t="s">
        <v>48</v>
      </c>
      <c r="G406" s="4">
        <v>0.5208333333333334</v>
      </c>
      <c r="H406" s="4">
        <v>0.08611111111111111</v>
      </c>
      <c r="I406" s="5">
        <v>0.5652777777777778</v>
      </c>
      <c r="J406" s="4"/>
      <c r="K406" s="4"/>
      <c r="L406" s="5">
        <f>IF(J406&gt;0,MOD(K406-J406,1),"")</f>
        <v/>
      </c>
      <c r="M406" s="5">
        <v>0.3541666666666667</v>
      </c>
      <c r="N406" s="5">
        <v>0.2826388888888889</v>
      </c>
      <c r="O406" s="3">
        <v>0</v>
      </c>
      <c r="P406" s="3">
        <v>0</v>
      </c>
      <c r="Q406" s="3" t="s">
        <v>24</v>
      </c>
      <c r="R406" s="3" t="s">
        <v>24</v>
      </c>
      <c r="S406" s="5">
        <f>_xlfn.IFS(F406="2C1",I406,F406="3C1",I406*0.666666666667,F406="3C2",I406*0.333333333333,F406="3CX","",F406="4C1",I406*0.5,F406="4C2",I406*0.5,F406="4C3","",F406="4CR","",F406="2CR","",F406="2CO","",F406="4CX","",TRUE,"")</f>
        <v>0.2826388888888889</v>
      </c>
      <c r="T406" s="3" t="s">
        <v>176</v>
      </c>
    </row>
    <row r="407" spans="1:20">
      <c r="A407" s="2">
        <v>45805</v>
      </c>
      <c r="B407" s="3" t="s">
        <v>43</v>
      </c>
      <c r="C407" s="3" t="s">
        <v>40</v>
      </c>
      <c r="D407" s="3" t="s">
        <v>20</v>
      </c>
      <c r="E407" s="3" t="s">
        <v>32</v>
      </c>
      <c r="F407" s="3" t="s">
        <v>51</v>
      </c>
      <c r="G407" s="4">
        <v>0.20625</v>
      </c>
      <c r="H407" s="4">
        <v>0.8256944444444444</v>
      </c>
      <c r="I407" s="5">
        <v>0.6194444444444445</v>
      </c>
      <c r="J407" s="4"/>
      <c r="K407" s="4"/>
      <c r="L407" s="5">
        <f>IF(J407&gt;0,MOD(K407-J407,1),"")</f>
        <v/>
      </c>
      <c r="M407" s="5">
        <v>0.3048611111111111</v>
      </c>
      <c r="N407" s="5">
        <v>0.3097222222222222</v>
      </c>
      <c r="O407" s="3">
        <v>1</v>
      </c>
      <c r="P407" s="3">
        <v>1</v>
      </c>
      <c r="Q407" s="3" t="s">
        <v>24</v>
      </c>
      <c r="R407" s="3" t="s">
        <v>24</v>
      </c>
      <c r="S407" s="5">
        <f>_xlfn.IFS(F407="2C1",I407,F407="3C1",I407*0.666666666667,F407="3C2",I407*0.333333333333,F407="3CX","",F407="4C1",I407*0.5,F407="4C2",I407*0.5,F407="4C3","",F407="4CR","",F407="2CR","",F407="2CO","",F407="4CX","",TRUE,"")</f>
        <v>0.30972222222222223</v>
      </c>
      <c r="T407" s="3"/>
    </row>
    <row r="408" spans="1:20">
      <c r="A408" s="6" t="s">
        <v>36</v>
      </c>
      <c r="B408" s="6"/>
      <c r="C408" s="6"/>
      <c r="D408" s="6"/>
      <c r="E408" s="6"/>
      <c r="F408" s="6"/>
      <c r="G408" s="6"/>
      <c r="H408" s="6"/>
      <c r="I408" s="7">
        <f>SUM(I398:I407)</f>
        <v>4.909722222222222</v>
      </c>
      <c r="J408" s="8"/>
      <c r="K408" s="8"/>
      <c r="L408" s="7">
        <f>SUM(L398:L407)</f>
        <v>0.0</v>
      </c>
      <c r="M408" s="7">
        <f>SUM(M398:M407)</f>
        <v>2.5409722222222224</v>
      </c>
      <c r="N408" s="7">
        <f>SUM(N398:N407)</f>
        <v>2.6375</v>
      </c>
      <c r="O408" s="8">
        <f>SUM(O398:O407)</f>
        <v>3</v>
      </c>
      <c r="P408" s="8">
        <f>SUM(P398:P407)</f>
        <v>3</v>
      </c>
      <c r="Q408" s="8"/>
      <c r="R408" s="8"/>
      <c r="S408" s="7">
        <f>SUM(S398:S407)</f>
        <v>2.6375</v>
      </c>
      <c r="T408" s="8"/>
    </row>
    <row r="409" spans="1:20">
      <c r="A409" s="6" t="s">
        <v>37</v>
      </c>
      <c r="B409" s="6"/>
      <c r="C409" s="6"/>
      <c r="D409" s="6"/>
      <c r="E409" s="6"/>
      <c r="F409" s="6"/>
      <c r="G409" s="6"/>
      <c r="H409" s="6"/>
      <c r="I409" s="7">
        <v>624.4291666666667</v>
      </c>
      <c r="J409" s="8"/>
      <c r="K409" s="8"/>
      <c r="L409" s="7"/>
      <c r="M409" s="7">
        <v>226.8458333333333</v>
      </c>
      <c r="N409" s="7">
        <v>471.2083333333333</v>
      </c>
      <c r="O409" s="8">
        <v>1787</v>
      </c>
      <c r="P409" s="8">
        <v>1794</v>
      </c>
      <c r="Q409" s="8"/>
      <c r="R409" s="8"/>
      <c r="S409" s="7">
        <v>291.35625</v>
      </c>
      <c r="T409" s="8"/>
    </row>
    <row r="410" spans="1:20">
      <c r="A410" s="6" t="s">
        <v>38</v>
      </c>
      <c r="B410" s="6"/>
      <c r="C410" s="6"/>
      <c r="D410" s="6"/>
      <c r="E410" s="6"/>
      <c r="F410" s="6"/>
      <c r="G410" s="6"/>
      <c r="H410" s="6"/>
      <c r="I410" s="7">
        <v>629.3388888888888</v>
      </c>
      <c r="J410" s="8"/>
      <c r="K410" s="8"/>
      <c r="L410" s="7"/>
      <c r="M410" s="7">
        <v>229.3868055555556</v>
      </c>
      <c r="N410" s="7">
        <v>473.8458333333334</v>
      </c>
      <c r="O410" s="8">
        <v>1790</v>
      </c>
      <c r="P410" s="8">
        <v>1797</v>
      </c>
      <c r="Q410" s="8"/>
      <c r="R410" s="8"/>
      <c r="S410" s="7">
        <v>293.99375</v>
      </c>
      <c r="T410" s="8"/>
    </row>
    <row r="419" spans="1:20">
      <c r="A419" s="1" t="s">
        <v>0</v>
      </c>
      <c r="B419" s="1" t="s">
        <v>1</v>
      </c>
      <c r="C419" s="1" t="s">
        <v>2</v>
      </c>
      <c r="D419" s="1" t="s">
        <v>3</v>
      </c>
      <c r="E419" s="1" t="s">
        <v>4</v>
      </c>
      <c r="F419" s="1" t="s">
        <v>5</v>
      </c>
      <c r="G419" s="1" t="s">
        <v>6</v>
      </c>
      <c r="H419" s="1" t="s">
        <v>7</v>
      </c>
      <c r="I419" s="1" t="s">
        <v>8</v>
      </c>
      <c r="J419" s="1" t="s">
        <v>3</v>
      </c>
      <c r="K419" s="1" t="s">
        <v>9</v>
      </c>
      <c r="L419" s="1" t="s">
        <v>10</v>
      </c>
      <c r="M419" s="1" t="s">
        <v>11</v>
      </c>
      <c r="N419" s="1" t="s">
        <v>12</v>
      </c>
      <c r="O419" s="1" t="s">
        <v>13</v>
      </c>
      <c r="P419" s="1" t="s">
        <v>14</v>
      </c>
      <c r="Q419" s="1" t="s">
        <v>15</v>
      </c>
      <c r="R419" s="1" t="s">
        <v>16</v>
      </c>
      <c r="S419" s="1" t="s">
        <v>17</v>
      </c>
      <c r="T419" s="1" t="s">
        <v>18</v>
      </c>
    </row>
    <row r="420" spans="1:20">
      <c r="A420" s="2">
        <v>45812</v>
      </c>
      <c r="B420" s="3" t="s">
        <v>164</v>
      </c>
      <c r="C420" s="3" t="s">
        <v>20</v>
      </c>
      <c r="D420" s="3" t="s">
        <v>165</v>
      </c>
      <c r="E420" s="3" t="s">
        <v>50</v>
      </c>
      <c r="F420" s="3" t="s">
        <v>46</v>
      </c>
      <c r="G420" s="4">
        <v>0.3756944444444444</v>
      </c>
      <c r="H420" s="4">
        <v>0.5618055555555556</v>
      </c>
      <c r="I420" s="5">
        <v>0.1861111111111111</v>
      </c>
      <c r="J420" s="4"/>
      <c r="K420" s="4"/>
      <c r="L420" s="5">
        <f>IF(J420&gt;0,MOD(K420-J420,1),"")</f>
        <v/>
      </c>
      <c r="M420" s="5">
        <v>0.04097222222222222</v>
      </c>
      <c r="N420" s="5">
        <v>0.1861111111111111</v>
      </c>
      <c r="O420" s="3">
        <v>1</v>
      </c>
      <c r="P420" s="3">
        <v>1</v>
      </c>
      <c r="Q420" s="3" t="s">
        <v>24</v>
      </c>
      <c r="R420" s="3" t="s">
        <v>24</v>
      </c>
      <c r="S420" s="5">
        <f>_xlfn.IFS(F420="2C1",I420,F420="3C1",I420*0.666666666667,F420="3C2",I420*0.333333333333,F420="3CX","",F420="4C1",I420*0.5,F420="4C2",I420*0.5,F420="4C3","",F420="4CR","",F420="2CR","",F420="2CO","",F420="4CX","",TRUE,"")</f>
        <v>0.18611111111111112</v>
      </c>
      <c r="T420" s="3" t="s">
        <v>95</v>
      </c>
    </row>
    <row r="421" spans="1:20">
      <c r="A421" s="2">
        <v>45813</v>
      </c>
      <c r="B421" s="3" t="s">
        <v>167</v>
      </c>
      <c r="C421" s="3" t="s">
        <v>165</v>
      </c>
      <c r="D421" s="3" t="s">
        <v>20</v>
      </c>
      <c r="E421" s="3" t="s">
        <v>50</v>
      </c>
      <c r="F421" s="3" t="s">
        <v>46</v>
      </c>
      <c r="G421" s="4">
        <v>0.65625</v>
      </c>
      <c r="H421" s="4">
        <v>0.8444444444444444</v>
      </c>
      <c r="I421" s="5">
        <v>0.1881944444444444</v>
      </c>
      <c r="J421" s="4"/>
      <c r="K421" s="4"/>
      <c r="L421" s="5">
        <f>IF(J421&gt;0,MOD(K421-J421,1),"")</f>
        <v/>
      </c>
      <c r="M421" s="5">
        <v>0.2090277777777778</v>
      </c>
      <c r="N421" s="5">
        <v>0.1881944444444444</v>
      </c>
      <c r="O421" s="3">
        <v>0</v>
      </c>
      <c r="P421" s="3">
        <v>0</v>
      </c>
      <c r="Q421" s="3" t="s">
        <v>24</v>
      </c>
      <c r="R421" s="3" t="s">
        <v>24</v>
      </c>
      <c r="S421" s="5">
        <f>_xlfn.IFS(F421="2C1",I421,F421="3C1",I421*0.666666666667,F421="3C2",I421*0.333333333333,F421="3CX","",F421="4C1",I421*0.5,F421="4C2",I421*0.5,F421="4C3","",F421="4CR","",F421="2CR","",F421="2CO","",F421="4CX","",TRUE,"")</f>
        <v>0.18819444444444444</v>
      </c>
      <c r="T421" s="3"/>
    </row>
    <row r="422" spans="1:20">
      <c r="A422" s="2">
        <v>45825</v>
      </c>
      <c r="B422" s="3" t="s">
        <v>39</v>
      </c>
      <c r="C422" s="3" t="s">
        <v>20</v>
      </c>
      <c r="D422" s="3" t="s">
        <v>40</v>
      </c>
      <c r="E422" s="3" t="s">
        <v>50</v>
      </c>
      <c r="F422" s="3" t="s">
        <v>48</v>
      </c>
      <c r="G422" s="4">
        <v>0.5479166666666667</v>
      </c>
      <c r="H422" s="4">
        <v>0.1375</v>
      </c>
      <c r="I422" s="5">
        <v>0.5895833333333333</v>
      </c>
      <c r="J422" s="4"/>
      <c r="K422" s="4"/>
      <c r="L422" s="5">
        <f>IF(J422&gt;0,MOD(K422-J422,1),"")</f>
        <v/>
      </c>
      <c r="M422" s="5">
        <v>0.3479166666666667</v>
      </c>
      <c r="N422" s="5">
        <v>0.2947916666666667</v>
      </c>
      <c r="O422" s="3">
        <v>0</v>
      </c>
      <c r="P422" s="3">
        <v>0</v>
      </c>
      <c r="Q422" s="3" t="s">
        <v>24</v>
      </c>
      <c r="R422" s="3" t="s">
        <v>24</v>
      </c>
      <c r="S422" s="5">
        <f>_xlfn.IFS(F422="2C1",I422,F422="3C1",I422*0.666666666667,F422="3C2",I422*0.333333333333,F422="3CX","",F422="4C1",I422*0.5,F422="4C2",I422*0.5,F422="4C3","",F422="4CR","",F422="2CR","",F422="2CO","",F422="4CX","",TRUE,"")</f>
        <v>0.2947916666666667</v>
      </c>
      <c r="T422" s="3" t="s">
        <v>177</v>
      </c>
    </row>
    <row r="423" spans="1:20">
      <c r="A423" s="2">
        <v>45827</v>
      </c>
      <c r="B423" s="3" t="s">
        <v>43</v>
      </c>
      <c r="C423" s="3" t="s">
        <v>40</v>
      </c>
      <c r="D423" s="3" t="s">
        <v>20</v>
      </c>
      <c r="E423" s="3" t="s">
        <v>172</v>
      </c>
      <c r="F423" s="3" t="s">
        <v>51</v>
      </c>
      <c r="G423" s="4">
        <v>0.2118055555555556</v>
      </c>
      <c r="H423" s="4">
        <v>0.8145833333333333</v>
      </c>
      <c r="I423" s="5">
        <v>0.6027777777777777</v>
      </c>
      <c r="J423" s="4"/>
      <c r="K423" s="4"/>
      <c r="L423" s="5">
        <f>IF(J423&gt;0,MOD(K423-J423,1),"")</f>
        <v/>
      </c>
      <c r="M423" s="5">
        <v>0.29375</v>
      </c>
      <c r="N423" s="5">
        <v>0.3013888888888889</v>
      </c>
      <c r="O423" s="3">
        <v>0</v>
      </c>
      <c r="P423" s="3">
        <v>1</v>
      </c>
      <c r="Q423" s="3" t="s">
        <v>24</v>
      </c>
      <c r="R423" s="3" t="s">
        <v>24</v>
      </c>
      <c r="S423" s="5">
        <f>_xlfn.IFS(F423="2C1",I423,F423="3C1",I423*0.666666666667,F423="3C2",I423*0.333333333333,F423="3CX","",F423="4C1",I423*0.5,F423="4C2",I423*0.5,F423="4C3","",F423="4CR","",F423="2CR","",F423="2CO","",F423="4CX","",TRUE,"")</f>
        <v>0.3013888888888889</v>
      </c>
      <c r="T423" s="3"/>
    </row>
    <row r="424" spans="1:20">
      <c r="A424" s="2">
        <v>45833</v>
      </c>
      <c r="B424" s="3" t="s">
        <v>56</v>
      </c>
      <c r="C424" s="3" t="s">
        <v>20</v>
      </c>
      <c r="D424" s="3" t="s">
        <v>57</v>
      </c>
      <c r="E424" s="3" t="s">
        <v>154</v>
      </c>
      <c r="F424" s="3" t="s">
        <v>48</v>
      </c>
      <c r="G424" s="4">
        <v>0.1618055555555556</v>
      </c>
      <c r="H424" s="4">
        <v>0.6222222222222222</v>
      </c>
      <c r="I424" s="5">
        <v>0.4604166666666666</v>
      </c>
      <c r="J424" s="4"/>
      <c r="K424" s="4"/>
      <c r="L424" s="5">
        <f>IF(J424&gt;0,MOD(K424-J424,1),"")</f>
        <v/>
      </c>
      <c r="M424" s="5">
        <v>0.1013888888888889</v>
      </c>
      <c r="N424" s="5">
        <v>0.2302083333333333</v>
      </c>
      <c r="O424" s="3">
        <v>0</v>
      </c>
      <c r="P424" s="3">
        <v>0</v>
      </c>
      <c r="Q424" s="3" t="s">
        <v>24</v>
      </c>
      <c r="R424" s="3" t="s">
        <v>24</v>
      </c>
      <c r="S424" s="5">
        <f>_xlfn.IFS(F424="2C1",I424,F424="3C1",I424*0.666666666667,F424="3C2",I424*0.333333333333,F424="3CX","",F424="4C1",I424*0.5,F424="4C2",I424*0.5,F424="4C3","",F424="4CR","",F424="2CR","",F424="2CO","",F424="4CX","",TRUE,"")</f>
        <v>0.23020833333333332</v>
      </c>
      <c r="T424" s="3" t="s">
        <v>178</v>
      </c>
    </row>
    <row r="425" spans="1:20">
      <c r="A425" s="2">
        <v>45835</v>
      </c>
      <c r="B425" s="3" t="s">
        <v>60</v>
      </c>
      <c r="C425" s="3" t="s">
        <v>57</v>
      </c>
      <c r="D425" s="3" t="s">
        <v>20</v>
      </c>
      <c r="E425" s="3" t="s">
        <v>50</v>
      </c>
      <c r="F425" s="3" t="s">
        <v>51</v>
      </c>
      <c r="G425" s="4">
        <v>0.7340277777777777</v>
      </c>
      <c r="H425" s="4">
        <v>0.2638888888888889</v>
      </c>
      <c r="I425" s="5">
        <v>0.5298611111111111</v>
      </c>
      <c r="J425" s="4"/>
      <c r="K425" s="4"/>
      <c r="L425" s="5">
        <f>IF(J425&gt;0,MOD(K425-J425,1),"")</f>
        <v/>
      </c>
      <c r="M425" s="5">
        <v>0.1618055555555556</v>
      </c>
      <c r="N425" s="5">
        <v>0.2649305555555556</v>
      </c>
      <c r="O425" s="3">
        <v>0</v>
      </c>
      <c r="P425" s="3">
        <v>0</v>
      </c>
      <c r="Q425" s="3" t="s">
        <v>24</v>
      </c>
      <c r="R425" s="3" t="s">
        <v>24</v>
      </c>
      <c r="S425" s="5">
        <f>_xlfn.IFS(F425="2C1",I425,F425="3C1",I425*0.666666666667,F425="3C2",I425*0.333333333333,F425="3CX","",F425="4C1",I425*0.5,F425="4C2",I425*0.5,F425="4C3","",F425="4CR","",F425="2CR","",F425="2CO","",F425="4CX","",TRUE,"")</f>
        <v>0.26493055555555556</v>
      </c>
      <c r="T425" s="3"/>
    </row>
    <row r="426" spans="1:20">
      <c r="A426" s="2">
        <v>45838</v>
      </c>
      <c r="B426" s="3" t="s">
        <v>19</v>
      </c>
      <c r="C426" s="3" t="s">
        <v>20</v>
      </c>
      <c r="D426" s="3" t="s">
        <v>21</v>
      </c>
      <c r="E426" s="3" t="s">
        <v>154</v>
      </c>
      <c r="F426" s="3" t="s">
        <v>46</v>
      </c>
      <c r="G426" s="4">
        <v>0.004166666666666667</v>
      </c>
      <c r="H426" s="4">
        <v>0.1006944444444444</v>
      </c>
      <c r="I426" s="5">
        <v>0.09652777777777778</v>
      </c>
      <c r="J426" s="4"/>
      <c r="K426" s="4"/>
      <c r="L426" s="5">
        <f>IF(J426&gt;0,MOD(K426-J426,1),"")</f>
        <v/>
      </c>
      <c r="M426" s="5">
        <v>0</v>
      </c>
      <c r="N426" s="5">
        <v>0.09652777777777778</v>
      </c>
      <c r="O426" s="3">
        <v>1</v>
      </c>
      <c r="P426" s="3">
        <v>1</v>
      </c>
      <c r="Q426" s="3" t="s">
        <v>24</v>
      </c>
      <c r="R426" s="3" t="s">
        <v>24</v>
      </c>
      <c r="S426" s="5">
        <f>_xlfn.IFS(F426="2C1",I426,F426="3C1",I426*0.666666666667,F426="3C2",I426*0.333333333333,F426="3CX","",F426="4C1",I426*0.5,F426="4C2",I426*0.5,F426="4C3","",F426="4CR","",F426="2CR","",F426="2CO","",F426="4CX","",TRUE,"")</f>
        <v>0.09652777777777778</v>
      </c>
      <c r="T426" s="3"/>
    </row>
    <row r="427" spans="1:20">
      <c r="A427" s="2">
        <v>45838</v>
      </c>
      <c r="B427" s="3" t="s">
        <v>26</v>
      </c>
      <c r="C427" s="3" t="s">
        <v>21</v>
      </c>
      <c r="D427" s="3" t="s">
        <v>20</v>
      </c>
      <c r="E427" s="3" t="s">
        <v>154</v>
      </c>
      <c r="F427" s="3" t="s">
        <v>46</v>
      </c>
      <c r="G427" s="4">
        <v>0.1493055555555556</v>
      </c>
      <c r="H427" s="4">
        <v>0.2555555555555555</v>
      </c>
      <c r="I427" s="5">
        <v>0.10625</v>
      </c>
      <c r="J427" s="4"/>
      <c r="K427" s="4"/>
      <c r="L427" s="5">
        <f>IF(J427&gt;0,MOD(K427-J427,1),"")</f>
        <v/>
      </c>
      <c r="M427" s="5">
        <v>0</v>
      </c>
      <c r="N427" s="5">
        <v>0.10625</v>
      </c>
      <c r="O427" s="3">
        <v>0</v>
      </c>
      <c r="P427" s="3">
        <v>0</v>
      </c>
      <c r="Q427" s="3" t="s">
        <v>24</v>
      </c>
      <c r="R427" s="3" t="s">
        <v>24</v>
      </c>
      <c r="S427" s="5">
        <f>_xlfn.IFS(F427="2C1",I427,F427="3C1",I427*0.666666666667,F427="3C2",I427*0.333333333333,F427="3CX","",F427="4C1",I427*0.5,F427="4C2",I427*0.5,F427="4C3","",F427="4CR","",F427="2CR","",F427="2CO","",F427="4CX","",TRUE,"")</f>
        <v>0.10625</v>
      </c>
      <c r="T427" s="3" t="s">
        <v>179</v>
      </c>
    </row>
    <row r="428" spans="1:20">
      <c r="A428" s="2">
        <v>45839</v>
      </c>
      <c r="B428" s="3" t="s">
        <v>90</v>
      </c>
      <c r="C428" s="3" t="s">
        <v>20</v>
      </c>
      <c r="D428" s="3" t="s">
        <v>91</v>
      </c>
      <c r="E428" s="3" t="s">
        <v>50</v>
      </c>
      <c r="F428" s="3" t="s">
        <v>46</v>
      </c>
      <c r="G428" s="4">
        <v>0.3298611111111111</v>
      </c>
      <c r="H428" s="4">
        <v>0.5743055555555555</v>
      </c>
      <c r="I428" s="5">
        <v>0.2444444444444444</v>
      </c>
      <c r="J428" s="4"/>
      <c r="K428" s="4"/>
      <c r="L428" s="5">
        <f>IF(J428&gt;0,MOD(K428-J428,1),"")</f>
        <v/>
      </c>
      <c r="M428" s="5">
        <v>0.05347222222222222</v>
      </c>
      <c r="N428" s="5">
        <v>0.2444444444444444</v>
      </c>
      <c r="O428" s="3">
        <v>1</v>
      </c>
      <c r="P428" s="3">
        <v>1</v>
      </c>
      <c r="Q428" s="3" t="s">
        <v>24</v>
      </c>
      <c r="R428" s="3" t="s">
        <v>24</v>
      </c>
      <c r="S428" s="5">
        <f>_xlfn.IFS(F428="2C1",I428,F428="3C1",I428*0.666666666667,F428="3C2",I428*0.333333333333,F428="3CX","",F428="4C1",I428*0.5,F428="4C2",I428*0.5,F428="4C3","",F428="4CR","",F428="2CR","",F428="2CO","",F428="4CX","",TRUE,"")</f>
        <v>0.24444444444444444</v>
      </c>
      <c r="T428" s="3" t="s">
        <v>180</v>
      </c>
    </row>
    <row r="429" spans="1:20">
      <c r="A429" s="2">
        <v>45840</v>
      </c>
      <c r="B429" s="3" t="s">
        <v>93</v>
      </c>
      <c r="C429" s="3" t="s">
        <v>91</v>
      </c>
      <c r="D429" s="3" t="s">
        <v>20</v>
      </c>
      <c r="E429" s="3" t="s">
        <v>154</v>
      </c>
      <c r="F429" s="3" t="s">
        <v>46</v>
      </c>
      <c r="G429" s="4">
        <v>0.6638888888888889</v>
      </c>
      <c r="H429" s="4">
        <v>0.89375</v>
      </c>
      <c r="I429" s="5">
        <v>0.2298611111111111</v>
      </c>
      <c r="J429" s="4"/>
      <c r="K429" s="4"/>
      <c r="L429" s="5">
        <f>IF(J429&gt;0,MOD(K429-J429,1),"")</f>
        <v/>
      </c>
      <c r="M429" s="5">
        <v>0.2319444444444445</v>
      </c>
      <c r="N429" s="5">
        <v>0.2298611111111111</v>
      </c>
      <c r="O429" s="3">
        <v>0</v>
      </c>
      <c r="P429" s="3">
        <v>1</v>
      </c>
      <c r="Q429" s="3" t="s">
        <v>24</v>
      </c>
      <c r="R429" s="3" t="s">
        <v>24</v>
      </c>
      <c r="S429" s="5">
        <f>_xlfn.IFS(F429="2C1",I429,F429="3C1",I429*0.666666666667,F429="3C2",I429*0.333333333333,F429="3CX","",F429="4C1",I429*0.5,F429="4C2",I429*0.5,F429="4C3","",F429="4CR","",F429="2CR","",F429="2CO","",F429="4CX","",TRUE,"")</f>
        <v>0.2298611111111111</v>
      </c>
      <c r="T429" s="3"/>
    </row>
    <row r="430" spans="1:20">
      <c r="A430" s="6" t="s">
        <v>36</v>
      </c>
      <c r="B430" s="6"/>
      <c r="C430" s="6"/>
      <c r="D430" s="6"/>
      <c r="E430" s="6"/>
      <c r="F430" s="6"/>
      <c r="G430" s="6"/>
      <c r="H430" s="6"/>
      <c r="I430" s="7">
        <f>SUM(I420:I429)</f>
        <v>3.234027777777778</v>
      </c>
      <c r="J430" s="8"/>
      <c r="K430" s="8"/>
      <c r="L430" s="7">
        <f>SUM(L420:L429)</f>
        <v>0.0</v>
      </c>
      <c r="M430" s="7">
        <f>SUM(M420:M429)</f>
        <v>1.4402777777777778</v>
      </c>
      <c r="N430" s="7">
        <f>SUM(N420:N429)</f>
        <v>2.1430555555555557</v>
      </c>
      <c r="O430" s="8">
        <f>SUM(O420:O429)</f>
        <v>3</v>
      </c>
      <c r="P430" s="8">
        <f>SUM(P420:P429)</f>
        <v>5</v>
      </c>
      <c r="Q430" s="8"/>
      <c r="R430" s="8"/>
      <c r="S430" s="7">
        <f>SUM(S420:S429)</f>
        <v>2.1430555555555557</v>
      </c>
      <c r="T430" s="8"/>
    </row>
    <row r="431" spans="1:20">
      <c r="A431" s="6" t="s">
        <v>37</v>
      </c>
      <c r="B431" s="6"/>
      <c r="C431" s="6"/>
      <c r="D431" s="6"/>
      <c r="E431" s="6"/>
      <c r="F431" s="6"/>
      <c r="G431" s="6"/>
      <c r="H431" s="6"/>
      <c r="I431" s="7">
        <v>629.3388888888888</v>
      </c>
      <c r="J431" s="8"/>
      <c r="K431" s="8"/>
      <c r="L431" s="7"/>
      <c r="M431" s="7">
        <v>229.3868055555556</v>
      </c>
      <c r="N431" s="7">
        <v>473.8458333333334</v>
      </c>
      <c r="O431" s="8">
        <v>1790</v>
      </c>
      <c r="P431" s="8">
        <v>1797</v>
      </c>
      <c r="Q431" s="8"/>
      <c r="R431" s="8"/>
      <c r="S431" s="7">
        <v>293.99375</v>
      </c>
      <c r="T431" s="8"/>
    </row>
    <row r="432" spans="1:20">
      <c r="A432" s="6" t="s">
        <v>38</v>
      </c>
      <c r="B432" s="6"/>
      <c r="C432" s="6"/>
      <c r="D432" s="6"/>
      <c r="E432" s="6"/>
      <c r="F432" s="6"/>
      <c r="G432" s="6"/>
      <c r="H432" s="6"/>
      <c r="I432" s="7">
        <v>632.5729166666666</v>
      </c>
      <c r="J432" s="8"/>
      <c r="K432" s="8"/>
      <c r="L432" s="7"/>
      <c r="M432" s="7">
        <v>230.8270833333333</v>
      </c>
      <c r="N432" s="7">
        <v>475.9888888888889</v>
      </c>
      <c r="O432" s="8">
        <v>1793</v>
      </c>
      <c r="P432" s="8">
        <v>1802</v>
      </c>
      <c r="Q432" s="8"/>
      <c r="R432" s="8"/>
      <c r="S432" s="7">
        <v>296.1368055555556</v>
      </c>
      <c r="T432" s="8"/>
    </row>
    <row r="441" spans="1:20">
      <c r="A441" s="1" t="s">
        <v>0</v>
      </c>
      <c r="B441" s="1" t="s">
        <v>1</v>
      </c>
      <c r="C441" s="1" t="s">
        <v>2</v>
      </c>
      <c r="D441" s="1" t="s">
        <v>3</v>
      </c>
      <c r="E441" s="1" t="s">
        <v>4</v>
      </c>
      <c r="F441" s="1" t="s">
        <v>5</v>
      </c>
      <c r="G441" s="1" t="s">
        <v>6</v>
      </c>
      <c r="H441" s="1" t="s">
        <v>7</v>
      </c>
      <c r="I441" s="1" t="s">
        <v>8</v>
      </c>
      <c r="J441" s="1" t="s">
        <v>3</v>
      </c>
      <c r="K441" s="1" t="s">
        <v>9</v>
      </c>
      <c r="L441" s="1" t="s">
        <v>10</v>
      </c>
      <c r="M441" s="1" t="s">
        <v>11</v>
      </c>
      <c r="N441" s="1" t="s">
        <v>12</v>
      </c>
      <c r="O441" s="1" t="s">
        <v>13</v>
      </c>
      <c r="P441" s="1" t="s">
        <v>14</v>
      </c>
      <c r="Q441" s="1" t="s">
        <v>15</v>
      </c>
      <c r="R441" s="1" t="s">
        <v>16</v>
      </c>
      <c r="S441" s="1" t="s">
        <v>17</v>
      </c>
      <c r="T441" s="1" t="s">
        <v>18</v>
      </c>
    </row>
    <row r="442" spans="1:20">
      <c r="A442" s="2">
        <v>45845</v>
      </c>
      <c r="B442" s="3" t="s">
        <v>56</v>
      </c>
      <c r="C442" s="3" t="s">
        <v>20</v>
      </c>
      <c r="D442" s="3" t="s">
        <v>57</v>
      </c>
      <c r="E442" s="3" t="s">
        <v>32</v>
      </c>
      <c r="F442" s="3" t="s">
        <v>48</v>
      </c>
      <c r="G442" s="4">
        <v>0.1569444444444444</v>
      </c>
      <c r="H442" s="4">
        <v>0.6361111111111111</v>
      </c>
      <c r="I442" s="5">
        <v>0.4791666666666667</v>
      </c>
      <c r="J442" s="4"/>
      <c r="K442" s="4"/>
      <c r="L442" s="5">
        <f>IF(J442&gt;0,MOD(K442-J442,1),"")</f>
        <v/>
      </c>
      <c r="M442" s="5">
        <v>0.1152777777777778</v>
      </c>
      <c r="N442" s="5">
        <v>0.2395833333333333</v>
      </c>
      <c r="O442" s="3">
        <v>0</v>
      </c>
      <c r="P442" s="3">
        <v>0</v>
      </c>
      <c r="Q442" s="3" t="s">
        <v>24</v>
      </c>
      <c r="R442" s="3" t="s">
        <v>24</v>
      </c>
      <c r="S442" s="5">
        <f>_xlfn.IFS(F442="2C1",I442,F442="3C1",I442*0.666666666667,F442="3C2",I442*0.333333333333,F442="3CX","",F442="4C1",I442*0.5,F442="4C2",I442*0.5,F442="4C3","",F442="4CR","",F442="2CR","",F442="2CO","",F442="4CX","",TRUE,"")</f>
        <v>0.23958333333333334</v>
      </c>
      <c r="T442" s="3" t="s">
        <v>181</v>
      </c>
    </row>
    <row r="443" spans="1:20">
      <c r="A443" s="2">
        <v>45847</v>
      </c>
      <c r="B443" s="3" t="s">
        <v>60</v>
      </c>
      <c r="C443" s="3" t="s">
        <v>57</v>
      </c>
      <c r="D443" s="3" t="s">
        <v>20</v>
      </c>
      <c r="E443" s="3" t="s">
        <v>32</v>
      </c>
      <c r="F443" s="3" t="s">
        <v>51</v>
      </c>
      <c r="G443" s="4">
        <v>0.7333333333333333</v>
      </c>
      <c r="H443" s="4">
        <v>0.2541666666666667</v>
      </c>
      <c r="I443" s="5">
        <v>0.5208333333333334</v>
      </c>
      <c r="J443" s="4"/>
      <c r="K443" s="4"/>
      <c r="L443" s="5">
        <f>IF(J443&gt;0,MOD(K443-J443,1),"")</f>
        <v/>
      </c>
      <c r="M443" s="5">
        <v>0.1625</v>
      </c>
      <c r="N443" s="5">
        <v>0.2604166666666667</v>
      </c>
      <c r="O443" s="3">
        <v>0</v>
      </c>
      <c r="P443" s="3">
        <v>0</v>
      </c>
      <c r="Q443" s="3" t="s">
        <v>24</v>
      </c>
      <c r="R443" s="3" t="s">
        <v>24</v>
      </c>
      <c r="S443" s="5">
        <f>_xlfn.IFS(F443="2C1",I443,F443="3C1",I443*0.666666666667,F443="3C2",I443*0.333333333333,F443="3CX","",F443="4C1",I443*0.5,F443="4C2",I443*0.5,F443="4C3","",F443="4CR","",F443="2CR","",F443="2CO","",F443="4CX","",TRUE,"")</f>
        <v>0.2604166666666667</v>
      </c>
      <c r="T443" s="3"/>
    </row>
    <row r="444" spans="1:20">
      <c r="A444" s="2">
        <v>45854</v>
      </c>
      <c r="B444" s="3" t="s">
        <v>90</v>
      </c>
      <c r="C444" s="3" t="s">
        <v>20</v>
      </c>
      <c r="D444" s="3" t="s">
        <v>91</v>
      </c>
      <c r="E444" s="3" t="s">
        <v>154</v>
      </c>
      <c r="F444" s="3" t="s">
        <v>46</v>
      </c>
      <c r="G444" s="4">
        <v>0.3590277777777778</v>
      </c>
      <c r="H444" s="4">
        <v>0.5902777777777778</v>
      </c>
      <c r="I444" s="5">
        <v>0.23125</v>
      </c>
      <c r="J444" s="4"/>
      <c r="K444" s="4"/>
      <c r="L444" s="5">
        <f>IF(J444&gt;0,MOD(K444-J444,1),"")</f>
        <v/>
      </c>
      <c r="M444" s="5">
        <v>0.06944444444444445</v>
      </c>
      <c r="N444" s="5">
        <v>0.23125</v>
      </c>
      <c r="O444" s="3">
        <v>1</v>
      </c>
      <c r="P444" s="3">
        <v>1</v>
      </c>
      <c r="Q444" s="3" t="s">
        <v>24</v>
      </c>
      <c r="R444" s="3" t="s">
        <v>24</v>
      </c>
      <c r="S444" s="5">
        <f>_xlfn.IFS(F444="2C1",I444,F444="3C1",I444*0.666666666667,F444="3C2",I444*0.333333333333,F444="3CX","",F444="4C1",I444*0.5,F444="4C2",I444*0.5,F444="4C3","",F444="4CR","",F444="2CR","",F444="2CO","",F444="4CX","",TRUE,"")</f>
        <v>0.23125</v>
      </c>
      <c r="T444" s="3" t="s">
        <v>182</v>
      </c>
    </row>
    <row r="445" spans="1:20">
      <c r="A445" s="2">
        <v>45855</v>
      </c>
      <c r="B445" s="3" t="s">
        <v>93</v>
      </c>
      <c r="C445" s="3" t="s">
        <v>91</v>
      </c>
      <c r="D445" s="3" t="s">
        <v>20</v>
      </c>
      <c r="E445" s="3" t="s">
        <v>154</v>
      </c>
      <c r="F445" s="3" t="s">
        <v>46</v>
      </c>
      <c r="G445" s="4">
        <v>0.6618055555555555</v>
      </c>
      <c r="H445" s="4">
        <v>0.8826388888888889</v>
      </c>
      <c r="I445" s="5">
        <v>0.2208333333333333</v>
      </c>
      <c r="J445" s="4"/>
      <c r="K445" s="4"/>
      <c r="L445" s="5">
        <f>IF(J445&gt;0,MOD(K445-J445,1),"")</f>
        <v/>
      </c>
      <c r="M445" s="5">
        <v>0.2340277777777778</v>
      </c>
      <c r="N445" s="5">
        <v>0.2208333333333333</v>
      </c>
      <c r="O445" s="3">
        <v>0</v>
      </c>
      <c r="P445" s="3">
        <v>0</v>
      </c>
      <c r="Q445" s="3" t="s">
        <v>24</v>
      </c>
      <c r="R445" s="3" t="s">
        <v>24</v>
      </c>
      <c r="S445" s="5">
        <f>_xlfn.IFS(F445="2C1",I445,F445="3C1",I445*0.666666666667,F445="3C2",I445*0.333333333333,F445="3CX","",F445="4C1",I445*0.5,F445="4C2",I445*0.5,F445="4C3","",F445="4CR","",F445="2CR","",F445="2CO","",F445="4CX","",TRUE,"")</f>
        <v>0.22083333333333333</v>
      </c>
      <c r="T445" s="3"/>
    </row>
    <row r="446" spans="1:20">
      <c r="A446" s="2">
        <v>45859</v>
      </c>
      <c r="B446" s="3" t="s">
        <v>56</v>
      </c>
      <c r="C446" s="3" t="s">
        <v>20</v>
      </c>
      <c r="D446" s="3" t="s">
        <v>57</v>
      </c>
      <c r="E446" s="3" t="s">
        <v>22</v>
      </c>
      <c r="F446" s="3" t="s">
        <v>51</v>
      </c>
      <c r="G446" s="4">
        <v>0.3451388888888889</v>
      </c>
      <c r="H446" s="4">
        <v>0.8458333333333333</v>
      </c>
      <c r="I446" s="5">
        <v>0.5006944444444444</v>
      </c>
      <c r="J446" s="4"/>
      <c r="K446" s="4"/>
      <c r="L446" s="5">
        <f>IF(J446&gt;0,MOD(K446-J446,1),"")</f>
        <v/>
      </c>
      <c r="M446" s="5">
        <v>0.325</v>
      </c>
      <c r="N446" s="5">
        <v>0.2503472222222222</v>
      </c>
      <c r="O446" s="3">
        <v>1</v>
      </c>
      <c r="P446" s="3">
        <v>1</v>
      </c>
      <c r="Q446" s="3" t="s">
        <v>24</v>
      </c>
      <c r="R446" s="3" t="s">
        <v>24</v>
      </c>
      <c r="S446" s="5">
        <f>_xlfn.IFS(F446="2C1",I446,F446="3C1",I446*0.666666666667,F446="3C2",I446*0.333333333333,F446="3CX","",F446="4C1",I446*0.5,F446="4C2",I446*0.5,F446="4C3","",F446="4CR","",F446="2CR","",F446="2CO","",F446="4CX","",TRUE,"")</f>
        <v>0.2503472222222222</v>
      </c>
      <c r="T446" s="3" t="s">
        <v>183</v>
      </c>
    </row>
    <row r="447" spans="1:20">
      <c r="A447" s="2">
        <v>45861</v>
      </c>
      <c r="B447" s="3" t="s">
        <v>60</v>
      </c>
      <c r="C447" s="3" t="s">
        <v>57</v>
      </c>
      <c r="D447" s="3" t="s">
        <v>20</v>
      </c>
      <c r="E447" s="3" t="s">
        <v>50</v>
      </c>
      <c r="F447" s="3" t="s">
        <v>48</v>
      </c>
      <c r="G447" s="4">
        <v>0.7347222222222223</v>
      </c>
      <c r="H447" s="4">
        <v>0.2291666666666667</v>
      </c>
      <c r="I447" s="5">
        <v>0.4944444444444445</v>
      </c>
      <c r="J447" s="4"/>
      <c r="K447" s="4"/>
      <c r="L447" s="5">
        <f>IF(J447&gt;0,MOD(K447-J447,1),"")</f>
        <v/>
      </c>
      <c r="M447" s="5">
        <v>0.1611111111111111</v>
      </c>
      <c r="N447" s="5">
        <v>0.2472222222222222</v>
      </c>
      <c r="O447" s="3">
        <v>0</v>
      </c>
      <c r="P447" s="3">
        <v>0</v>
      </c>
      <c r="Q447" s="3" t="s">
        <v>24</v>
      </c>
      <c r="R447" s="3" t="s">
        <v>24</v>
      </c>
      <c r="S447" s="5">
        <f>_xlfn.IFS(F447="2C1",I447,F447="3C1",I447*0.666666666667,F447="3C2",I447*0.333333333333,F447="3CX","",F447="4C1",I447*0.5,F447="4C2",I447*0.5,F447="4C3","",F447="4CR","",F447="2CR","",F447="2CO","",F447="4CX","",TRUE,"")</f>
        <v>0.24722222222222223</v>
      </c>
      <c r="T447" s="3"/>
    </row>
    <row r="448" spans="1:20">
      <c r="A448" s="2">
        <v>45864</v>
      </c>
      <c r="B448" s="3" t="s">
        <v>164</v>
      </c>
      <c r="C448" s="3" t="s">
        <v>20</v>
      </c>
      <c r="D448" s="3" t="s">
        <v>165</v>
      </c>
      <c r="E448" s="3" t="s">
        <v>154</v>
      </c>
      <c r="F448" s="3" t="s">
        <v>46</v>
      </c>
      <c r="G448" s="4">
        <v>0.3715277777777778</v>
      </c>
      <c r="H448" s="4">
        <v>0.5597222222222222</v>
      </c>
      <c r="I448" s="5">
        <v>0.1881944444444444</v>
      </c>
      <c r="J448" s="4"/>
      <c r="K448" s="4"/>
      <c r="L448" s="5">
        <f>IF(J448&gt;0,MOD(K448-J448,1),"")</f>
        <v/>
      </c>
      <c r="M448" s="5">
        <v>0.03888888888888889</v>
      </c>
      <c r="N448" s="5">
        <v>0.1881944444444444</v>
      </c>
      <c r="O448" s="3">
        <v>1</v>
      </c>
      <c r="P448" s="3">
        <v>1</v>
      </c>
      <c r="Q448" s="3" t="s">
        <v>24</v>
      </c>
      <c r="R448" s="3" t="s">
        <v>24</v>
      </c>
      <c r="S448" s="5">
        <f>_xlfn.IFS(F448="2C1",I448,F448="3C1",I448*0.666666666667,F448="3C2",I448*0.333333333333,F448="3CX","",F448="4C1",I448*0.5,F448="4C2",I448*0.5,F448="4C3","",F448="4CR","",F448="2CR","",F448="2CO","",F448="4CX","",TRUE,"")</f>
        <v>0.18819444444444444</v>
      </c>
      <c r="T448" s="3" t="s">
        <v>184</v>
      </c>
    </row>
    <row r="449" spans="1:20">
      <c r="A449" s="2">
        <v>45865</v>
      </c>
      <c r="B449" s="3" t="s">
        <v>167</v>
      </c>
      <c r="C449" s="3" t="s">
        <v>165</v>
      </c>
      <c r="D449" s="3" t="s">
        <v>20</v>
      </c>
      <c r="E449" s="3" t="s">
        <v>154</v>
      </c>
      <c r="F449" s="3" t="s">
        <v>46</v>
      </c>
      <c r="G449" s="4">
        <v>0.6652777777777777</v>
      </c>
      <c r="H449" s="4">
        <v>0.8506944444444444</v>
      </c>
      <c r="I449" s="5">
        <v>0.1854166666666667</v>
      </c>
      <c r="J449" s="4"/>
      <c r="K449" s="4"/>
      <c r="L449" s="5">
        <f>IF(J449&gt;0,MOD(K449-J449,1),"")</f>
        <v/>
      </c>
      <c r="M449" s="5">
        <v>0.20625</v>
      </c>
      <c r="N449" s="5">
        <v>0.1854166666666667</v>
      </c>
      <c r="O449" s="3">
        <v>0</v>
      </c>
      <c r="P449" s="3">
        <v>0</v>
      </c>
      <c r="Q449" s="3" t="s">
        <v>24</v>
      </c>
      <c r="R449" s="3" t="s">
        <v>24</v>
      </c>
      <c r="S449" s="5">
        <f>_xlfn.IFS(F449="2C1",I449,F449="3C1",I449*0.666666666667,F449="3C2",I449*0.333333333333,F449="3CX","",F449="4C1",I449*0.5,F449="4C2",I449*0.5,F449="4C3","",F449="4CR","",F449="2CR","",F449="2CO","",F449="4CX","",TRUE,"")</f>
        <v>0.18541666666666667</v>
      </c>
      <c r="T449" s="3"/>
    </row>
    <row r="450" spans="1:20">
      <c r="A450" s="2">
        <v>45869</v>
      </c>
      <c r="B450" s="3" t="s">
        <v>56</v>
      </c>
      <c r="C450" s="3" t="s">
        <v>20</v>
      </c>
      <c r="D450" s="3" t="s">
        <v>57</v>
      </c>
      <c r="E450" s="3" t="s">
        <v>22</v>
      </c>
      <c r="F450" s="3" t="s">
        <v>51</v>
      </c>
      <c r="G450" s="4">
        <v>0.1784722222222222</v>
      </c>
      <c r="H450" s="4">
        <v>0.6659722222222222</v>
      </c>
      <c r="I450" s="5">
        <v>0.4875</v>
      </c>
      <c r="J450" s="4"/>
      <c r="K450" s="4"/>
      <c r="L450" s="5">
        <f>IF(J450&gt;0,MOD(K450-J450,1),"")</f>
        <v/>
      </c>
      <c r="M450" s="5">
        <v>0.1451388888888889</v>
      </c>
      <c r="N450" s="5">
        <v>0.24375</v>
      </c>
      <c r="O450" s="3">
        <v>1</v>
      </c>
      <c r="P450" s="3">
        <v>1</v>
      </c>
      <c r="Q450" s="3" t="s">
        <v>24</v>
      </c>
      <c r="R450" s="3" t="s">
        <v>24</v>
      </c>
      <c r="S450" s="5">
        <f>_xlfn.IFS(F450="2C1",I450,F450="3C1",I450*0.666666666667,F450="3C2",I450*0.333333333333,F450="3CX","",F450="4C1",I450*0.5,F450="4C2",I450*0.5,F450="4C3","",F450="4CR","",F450="2CR","",F450="2CO","",F450="4CX","",TRUE,"")</f>
        <v>0.24375</v>
      </c>
      <c r="T450" s="3" t="s">
        <v>185</v>
      </c>
    </row>
    <row r="451" spans="1:20">
      <c r="A451" s="2">
        <v>45871</v>
      </c>
      <c r="B451" s="3" t="s">
        <v>60</v>
      </c>
      <c r="C451" s="3" t="s">
        <v>57</v>
      </c>
      <c r="D451" s="3" t="s">
        <v>20</v>
      </c>
      <c r="E451" s="3" t="s">
        <v>44</v>
      </c>
      <c r="F451" s="3" t="s">
        <v>48</v>
      </c>
      <c r="G451" s="4">
        <v>0.7375</v>
      </c>
      <c r="H451" s="4">
        <v>0.2729166666666666</v>
      </c>
      <c r="I451" s="5">
        <v>0.5354166666666667</v>
      </c>
      <c r="J451" s="4"/>
      <c r="K451" s="4"/>
      <c r="L451" s="5">
        <f>IF(J451&gt;0,MOD(K451-J451,1),"")</f>
        <v/>
      </c>
      <c r="M451" s="5">
        <v>0.1583333333333333</v>
      </c>
      <c r="N451" s="5">
        <v>0.2677083333333333</v>
      </c>
      <c r="O451" s="3">
        <v>0</v>
      </c>
      <c r="P451" s="3">
        <v>0</v>
      </c>
      <c r="Q451" s="3" t="s">
        <v>24</v>
      </c>
      <c r="R451" s="3" t="s">
        <v>24</v>
      </c>
      <c r="S451" s="5">
        <f>_xlfn.IFS(F451="2C1",I451,F451="3C1",I451*0.666666666667,F451="3C2",I451*0.333333333333,F451="3CX","",F451="4C1",I451*0.5,F451="4C2",I451*0.5,F451="4C3","",F451="4CR","",F451="2CR","",F451="2CO","",F451="4CX","",TRUE,"")</f>
        <v>0.2677083333333333</v>
      </c>
      <c r="T451" s="3"/>
    </row>
    <row r="452" spans="1:20">
      <c r="A452" s="6" t="s">
        <v>36</v>
      </c>
      <c r="B452" s="6"/>
      <c r="C452" s="6"/>
      <c r="D452" s="6"/>
      <c r="E452" s="6"/>
      <c r="F452" s="6"/>
      <c r="G452" s="6"/>
      <c r="H452" s="6"/>
      <c r="I452" s="7">
        <f>SUM(I442:I451)</f>
        <v>3.84375</v>
      </c>
      <c r="J452" s="8"/>
      <c r="K452" s="8"/>
      <c r="L452" s="7">
        <f>SUM(L442:L451)</f>
        <v>0.0</v>
      </c>
      <c r="M452" s="7">
        <f>SUM(M442:M451)</f>
        <v>1.6159722222222221</v>
      </c>
      <c r="N452" s="7">
        <f>SUM(N442:N451)</f>
        <v>2.334722222222222</v>
      </c>
      <c r="O452" s="8">
        <f>SUM(O442:O451)</f>
        <v>4</v>
      </c>
      <c r="P452" s="8">
        <f>SUM(P442:P451)</f>
        <v>4</v>
      </c>
      <c r="Q452" s="8"/>
      <c r="R452" s="8"/>
      <c r="S452" s="7">
        <f>SUM(S442:S451)</f>
        <v>2.334722222222222</v>
      </c>
      <c r="T452" s="8"/>
    </row>
    <row r="453" spans="1:20">
      <c r="A453" s="6" t="s">
        <v>37</v>
      </c>
      <c r="B453" s="6"/>
      <c r="C453" s="6"/>
      <c r="D453" s="6"/>
      <c r="E453" s="6"/>
      <c r="F453" s="6"/>
      <c r="G453" s="6"/>
      <c r="H453" s="6"/>
      <c r="I453" s="7">
        <v>632.5729166666666</v>
      </c>
      <c r="J453" s="8"/>
      <c r="K453" s="8"/>
      <c r="L453" s="7"/>
      <c r="M453" s="7">
        <v>230.8270833333333</v>
      </c>
      <c r="N453" s="7">
        <v>475.9888888888889</v>
      </c>
      <c r="O453" s="8">
        <v>1793</v>
      </c>
      <c r="P453" s="8">
        <v>1802</v>
      </c>
      <c r="Q453" s="8"/>
      <c r="R453" s="8"/>
      <c r="S453" s="7">
        <v>296.1368055555556</v>
      </c>
      <c r="T453" s="8"/>
    </row>
    <row r="454" spans="1:20">
      <c r="A454" s="6" t="s">
        <v>38</v>
      </c>
      <c r="B454" s="6"/>
      <c r="C454" s="6"/>
      <c r="D454" s="6"/>
      <c r="E454" s="6"/>
      <c r="F454" s="6"/>
      <c r="G454" s="6"/>
      <c r="H454" s="6"/>
      <c r="I454" s="7">
        <v>636.4166666666666</v>
      </c>
      <c r="J454" s="8"/>
      <c r="K454" s="8"/>
      <c r="L454" s="7"/>
      <c r="M454" s="7">
        <v>232.4430555555556</v>
      </c>
      <c r="N454" s="7">
        <v>478.3236111111111</v>
      </c>
      <c r="O454" s="8">
        <v>1797</v>
      </c>
      <c r="P454" s="8">
        <v>1806</v>
      </c>
      <c r="Q454" s="8"/>
      <c r="R454" s="8"/>
      <c r="S454" s="7">
        <v>298.4715277777778</v>
      </c>
      <c r="T454" s="8"/>
    </row>
    <row r="463" spans="1:20">
      <c r="A463" s="1" t="s">
        <v>0</v>
      </c>
      <c r="B463" s="1" t="s">
        <v>1</v>
      </c>
      <c r="C463" s="1" t="s">
        <v>2</v>
      </c>
      <c r="D463" s="1" t="s">
        <v>3</v>
      </c>
      <c r="E463" s="1" t="s">
        <v>4</v>
      </c>
      <c r="F463" s="1" t="s">
        <v>5</v>
      </c>
      <c r="G463" s="1" t="s">
        <v>6</v>
      </c>
      <c r="H463" s="1" t="s">
        <v>7</v>
      </c>
      <c r="I463" s="1" t="s">
        <v>8</v>
      </c>
      <c r="J463" s="1" t="s">
        <v>3</v>
      </c>
      <c r="K463" s="1" t="s">
        <v>9</v>
      </c>
      <c r="L463" s="1" t="s">
        <v>10</v>
      </c>
      <c r="M463" s="1" t="s">
        <v>11</v>
      </c>
      <c r="N463" s="1" t="s">
        <v>12</v>
      </c>
      <c r="O463" s="1" t="s">
        <v>13</v>
      </c>
      <c r="P463" s="1" t="s">
        <v>14</v>
      </c>
      <c r="Q463" s="1" t="s">
        <v>15</v>
      </c>
      <c r="R463" s="1" t="s">
        <v>16</v>
      </c>
      <c r="S463" s="1" t="s">
        <v>17</v>
      </c>
      <c r="T463" s="1" t="s">
        <v>18</v>
      </c>
    </row>
    <row r="464" spans="1:20">
      <c r="A464" s="2">
        <v>45875</v>
      </c>
      <c r="B464" s="3" t="s">
        <v>186</v>
      </c>
      <c r="C464" s="3" t="s">
        <v>20</v>
      </c>
      <c r="D464" s="3" t="s">
        <v>57</v>
      </c>
      <c r="E464" s="3" t="s">
        <v>172</v>
      </c>
      <c r="F464" s="3" t="s">
        <v>51</v>
      </c>
      <c r="G464" s="4">
        <v>0.55625</v>
      </c>
      <c r="H464" s="4">
        <v>0.02361111111111111</v>
      </c>
      <c r="I464" s="5">
        <v>0.4673611111111111</v>
      </c>
      <c r="J464" s="4"/>
      <c r="K464" s="4"/>
      <c r="L464" s="5">
        <f>IF(J464&gt;0,MOD(K464-J464,1),"")</f>
        <v/>
      </c>
      <c r="M464" s="5">
        <v>0.3395833333333333</v>
      </c>
      <c r="N464" s="5">
        <v>0.2336805555555556</v>
      </c>
      <c r="O464" s="3">
        <v>0</v>
      </c>
      <c r="P464" s="3">
        <v>0</v>
      </c>
      <c r="Q464" s="3" t="s">
        <v>24</v>
      </c>
      <c r="R464" s="3" t="s">
        <v>24</v>
      </c>
      <c r="S464" s="5">
        <f>_xlfn.IFS(F464="2C1",I464,F464="3C1",I464*0.666666666667,F464="3C2",I464*0.333333333333,F464="3CX","",F464="4C1",I464*0.5,F464="4C2",I464*0.5,F464="4C3","",F464="4CR","",F464="2CR","",F464="2CO","",F464="4CX","",TRUE,"")</f>
        <v>0.23368055555555556</v>
      </c>
      <c r="T464" s="3" t="s">
        <v>187</v>
      </c>
    </row>
    <row r="465" spans="1:20">
      <c r="A465" s="2">
        <v>45877</v>
      </c>
      <c r="B465" s="3" t="s">
        <v>188</v>
      </c>
      <c r="C465" s="3" t="s">
        <v>57</v>
      </c>
      <c r="D465" s="3" t="s">
        <v>20</v>
      </c>
      <c r="E465" s="3" t="s">
        <v>189</v>
      </c>
      <c r="F465" s="3" t="s">
        <v>48</v>
      </c>
      <c r="G465" s="4">
        <v>0.2805555555555556</v>
      </c>
      <c r="H465" s="4">
        <v>0.8326388888888889</v>
      </c>
      <c r="I465" s="5">
        <v>0.5520833333333334</v>
      </c>
      <c r="J465" s="4"/>
      <c r="K465" s="4"/>
      <c r="L465" s="5">
        <f>IF(J465&gt;0,MOD(K465-J465,1),"")</f>
        <v/>
      </c>
      <c r="M465" s="5">
        <v>0.3118055555555556</v>
      </c>
      <c r="N465" s="5">
        <v>0.2760416666666667</v>
      </c>
      <c r="O465" s="3">
        <v>0</v>
      </c>
      <c r="P465" s="3">
        <v>0</v>
      </c>
      <c r="Q465" s="3" t="s">
        <v>24</v>
      </c>
      <c r="R465" s="3" t="s">
        <v>24</v>
      </c>
      <c r="S465" s="5">
        <f>_xlfn.IFS(F465="2C1",I465,F465="3C1",I465*0.666666666667,F465="3C2",I465*0.333333333333,F465="3CX","",F465="4C1",I465*0.5,F465="4C2",I465*0.5,F465="4C3","",F465="4CR","",F465="2CR","",F465="2CO","",F465="4CX","",TRUE,"")</f>
        <v>0.2760416666666667</v>
      </c>
      <c r="T465" s="3"/>
    </row>
    <row r="466" spans="1:20">
      <c r="A466" s="2">
        <v>45889</v>
      </c>
      <c r="B466" s="3" t="s">
        <v>186</v>
      </c>
      <c r="C466" s="3" t="s">
        <v>20</v>
      </c>
      <c r="D466" s="3" t="s">
        <v>57</v>
      </c>
      <c r="E466" s="3" t="s">
        <v>172</v>
      </c>
      <c r="F466" s="3" t="s">
        <v>51</v>
      </c>
      <c r="G466" s="4">
        <v>0.5583333333333333</v>
      </c>
      <c r="H466" s="4">
        <v>0.03958333333333333</v>
      </c>
      <c r="I466" s="5">
        <v>0.48125</v>
      </c>
      <c r="J466" s="4"/>
      <c r="K466" s="4"/>
      <c r="L466" s="5">
        <f>IF(J466&gt;0,MOD(K466-J466,1),"")</f>
        <v/>
      </c>
      <c r="M466" s="5">
        <v>0.3375</v>
      </c>
      <c r="N466" s="5">
        <v>0.240625</v>
      </c>
      <c r="O466" s="3">
        <v>1</v>
      </c>
      <c r="P466" s="3">
        <v>1</v>
      </c>
      <c r="Q466" s="3" t="s">
        <v>24</v>
      </c>
      <c r="R466" s="3" t="s">
        <v>24</v>
      </c>
      <c r="S466" s="5">
        <f>_xlfn.IFS(F466="2C1",I466,F466="3C1",I466*0.666666666667,F466="3C2",I466*0.333333333333,F466="3CX","",F466="4C1",I466*0.5,F466="4C2",I466*0.5,F466="4C3","",F466="4CR","",F466="2CR","",F466="2CO","",F466="4CX","",TRUE,"")</f>
        <v>0.240625</v>
      </c>
      <c r="T466" s="3" t="s">
        <v>190</v>
      </c>
    </row>
    <row r="467" spans="1:20">
      <c r="A467" s="2">
        <v>45891</v>
      </c>
      <c r="B467" s="3" t="s">
        <v>188</v>
      </c>
      <c r="C467" s="3" t="s">
        <v>57</v>
      </c>
      <c r="D467" s="3" t="s">
        <v>20</v>
      </c>
      <c r="E467" s="3" t="s">
        <v>189</v>
      </c>
      <c r="F467" s="3" t="s">
        <v>48</v>
      </c>
      <c r="G467" s="4">
        <v>0.2729166666666666</v>
      </c>
      <c r="H467" s="4">
        <v>0.7722222222222223</v>
      </c>
      <c r="I467" s="5">
        <v>0.4993055555555556</v>
      </c>
      <c r="J467" s="4"/>
      <c r="K467" s="4"/>
      <c r="L467" s="5">
        <f>IF(J467&gt;0,MOD(K467-J467,1),"")</f>
        <v/>
      </c>
      <c r="M467" s="5">
        <v>0.2513888888888889</v>
      </c>
      <c r="N467" s="5">
        <v>0.2496527777777778</v>
      </c>
      <c r="O467" s="3">
        <v>0</v>
      </c>
      <c r="P467" s="3">
        <v>0</v>
      </c>
      <c r="Q467" s="3" t="s">
        <v>24</v>
      </c>
      <c r="R467" s="3" t="s">
        <v>24</v>
      </c>
      <c r="S467" s="5">
        <f>_xlfn.IFS(F467="2C1",I467,F467="3C1",I467*0.666666666667,F467="3C2",I467*0.333333333333,F467="3CX","",F467="4C1",I467*0.5,F467="4C2",I467*0.5,F467="4C3","",F467="4CR","",F467="2CR","",F467="2CO","",F467="4CX","",TRUE,"")</f>
        <v>0.24965277777777778</v>
      </c>
      <c r="T467" s="3"/>
    </row>
    <row r="468" spans="1:20">
      <c r="A468" s="2">
        <v>45908</v>
      </c>
      <c r="B468" s="3" t="s">
        <v>56</v>
      </c>
      <c r="C468" s="3" t="s">
        <v>20</v>
      </c>
      <c r="D468" s="3" t="s">
        <v>57</v>
      </c>
      <c r="E468" s="3" t="s">
        <v>22</v>
      </c>
      <c r="F468" s="3" t="s">
        <v>51</v>
      </c>
      <c r="G468" s="4">
        <v>0.15</v>
      </c>
      <c r="H468" s="4">
        <v>0.6131944444444445</v>
      </c>
      <c r="I468" s="5">
        <v>0.4631944444444445</v>
      </c>
      <c r="J468" s="4"/>
      <c r="K468" s="4"/>
      <c r="L468" s="5">
        <f>IF(J468&gt;0,MOD(K468-J468,1),"")</f>
        <v/>
      </c>
      <c r="M468" s="5">
        <v>0.09236111111111112</v>
      </c>
      <c r="N468" s="5">
        <v>0.2315972222222222</v>
      </c>
      <c r="O468" s="3">
        <v>1</v>
      </c>
      <c r="P468" s="3">
        <v>1</v>
      </c>
      <c r="Q468" s="3" t="s">
        <v>24</v>
      </c>
      <c r="R468" s="3" t="s">
        <v>24</v>
      </c>
      <c r="S468" s="5">
        <f>_xlfn.IFS(F468="2C1",I468,F468="3C1",I468*0.666666666667,F468="3C2",I468*0.333333333333,F468="3CX","",F468="4C1",I468*0.5,F468="4C2",I468*0.5,F468="4C3","",F468="4CR","",F468="2CR","",F468="2CO","",F468="4CX","",TRUE,"")</f>
        <v>0.23159722222222223</v>
      </c>
      <c r="T468" s="3" t="s">
        <v>191</v>
      </c>
    </row>
    <row r="469" spans="1:20">
      <c r="A469" s="2">
        <v>45910</v>
      </c>
      <c r="B469" s="3" t="s">
        <v>60</v>
      </c>
      <c r="C469" s="3" t="s">
        <v>57</v>
      </c>
      <c r="D469" s="3" t="s">
        <v>20</v>
      </c>
      <c r="E469" s="3" t="s">
        <v>44</v>
      </c>
      <c r="F469" s="3" t="s">
        <v>48</v>
      </c>
      <c r="G469" s="4">
        <v>0.7388888888888889</v>
      </c>
      <c r="H469" s="4">
        <v>0.2708333333333333</v>
      </c>
      <c r="I469" s="5">
        <v>0.5319444444444444</v>
      </c>
      <c r="J469" s="4"/>
      <c r="K469" s="4"/>
      <c r="L469" s="5">
        <f>IF(J469&gt;0,MOD(K469-J469,1),"")</f>
        <v/>
      </c>
      <c r="M469" s="5">
        <v>0.1569444444444444</v>
      </c>
      <c r="N469" s="5">
        <v>0.2659722222222222</v>
      </c>
      <c r="O469" s="3">
        <v>0</v>
      </c>
      <c r="P469" s="3">
        <v>0</v>
      </c>
      <c r="Q469" s="3" t="s">
        <v>24</v>
      </c>
      <c r="R469" s="3" t="s">
        <v>24</v>
      </c>
      <c r="S469" s="5">
        <f>_xlfn.IFS(F469="2C1",I469,F469="3C1",I469*0.666666666667,F469="3C2",I469*0.333333333333,F469="3CX","",F469="4C1",I469*0.5,F469="4C2",I469*0.5,F469="4C3","",F469="4CR","",F469="2CR","",F469="2CO","",F469="4CX","",TRUE,"")</f>
        <v>0.2659722222222222</v>
      </c>
      <c r="T469" s="3" t="s">
        <v>192</v>
      </c>
    </row>
    <row r="470" spans="1:20">
      <c r="A470" s="2">
        <v>45913</v>
      </c>
      <c r="B470" s="3" t="s">
        <v>193</v>
      </c>
      <c r="C470" s="3" t="s">
        <v>20</v>
      </c>
      <c r="D470" s="3" t="s">
        <v>104</v>
      </c>
      <c r="E470" s="3" t="s">
        <v>28</v>
      </c>
      <c r="F470" s="3" t="s">
        <v>71</v>
      </c>
      <c r="G470" s="4">
        <v>0.5569444444444445</v>
      </c>
      <c r="H470" s="4">
        <v>0.9222222222222223</v>
      </c>
      <c r="I470" s="5">
        <v>0.3652777777777778</v>
      </c>
      <c r="J470" s="4"/>
      <c r="K470" s="4"/>
      <c r="L470" s="5">
        <f>IF(J470&gt;0,MOD(K470-J470,1),"")</f>
        <v/>
      </c>
      <c r="M470" s="5">
        <v>0.3388888888888889</v>
      </c>
      <c r="N470" s="5">
        <v>0.2435185185185185</v>
      </c>
      <c r="O470" s="3">
        <v>0</v>
      </c>
      <c r="P470" s="3">
        <v>0</v>
      </c>
      <c r="Q470" s="3" t="s">
        <v>24</v>
      </c>
      <c r="R470" s="3" t="s">
        <v>24</v>
      </c>
      <c r="S470" s="5">
        <f>_xlfn.IFS(F470="2C1",I470,F470="3C1",I470*0.666666666667,F470="3C2",I470*0.333333333333,F470="3CX","",F470="4C1",I470*0.5,F470="4C2",I470*0.5,F470="4C3","",F470="4CR","",F470="2CR","",F470="2CO","",F470="4CX","",TRUE,"")</f>
        <v>0.24351851851851852</v>
      </c>
      <c r="T470" s="3" t="s">
        <v>194</v>
      </c>
    </row>
    <row r="471" spans="1:20">
      <c r="A471" s="2">
        <v>45916</v>
      </c>
      <c r="B471" s="3" t="s">
        <v>195</v>
      </c>
      <c r="C471" s="3" t="s">
        <v>104</v>
      </c>
      <c r="D471" s="3" t="s">
        <v>20</v>
      </c>
      <c r="E471" s="3" t="s">
        <v>172</v>
      </c>
      <c r="F471" s="3" t="s">
        <v>58</v>
      </c>
      <c r="G471" s="4">
        <v>0.02152777777777778</v>
      </c>
      <c r="H471" s="4">
        <v>0.4229166666666667</v>
      </c>
      <c r="I471" s="5">
        <v>0.4013888888888889</v>
      </c>
      <c r="J471" s="4"/>
      <c r="K471" s="4"/>
      <c r="L471" s="5">
        <f>IF(J471&gt;0,MOD(K471-J471,1),"")</f>
        <v/>
      </c>
      <c r="M471" s="5">
        <v>0</v>
      </c>
      <c r="N471" s="5">
        <v>0.1337962962962963</v>
      </c>
      <c r="O471" s="3">
        <v>0</v>
      </c>
      <c r="P471" s="3">
        <v>0</v>
      </c>
      <c r="Q471" s="3" t="s">
        <v>24</v>
      </c>
      <c r="R471" s="3" t="s">
        <v>24</v>
      </c>
      <c r="S471" s="5">
        <f>_xlfn.IFS(F471="2C1",I471,F471="3C1",I471*0.666666666667,F471="3C2",I471*0.333333333333,F471="3CX","",F471="4C1",I471*0.5,F471="4C2",I471*0.5,F471="4C3","",F471="4CR","",F471="2CR","",F471="2CO","",F471="4CX","",TRUE,"")</f>
        <v>0.1337962962962963</v>
      </c>
      <c r="T471" s="3" t="s">
        <v>194</v>
      </c>
    </row>
    <row r="472" spans="1:20">
      <c r="A472" s="2">
        <v>45918</v>
      </c>
      <c r="B472" s="3" t="s">
        <v>39</v>
      </c>
      <c r="C472" s="3" t="s">
        <v>20</v>
      </c>
      <c r="D472" s="3" t="s">
        <v>40</v>
      </c>
      <c r="E472" s="3" t="s">
        <v>50</v>
      </c>
      <c r="F472" s="3" t="s">
        <v>48</v>
      </c>
      <c r="G472" s="4">
        <v>0.5256944444444445</v>
      </c>
      <c r="H472" s="4">
        <v>0.1013888888888889</v>
      </c>
      <c r="I472" s="5">
        <v>0.5756944444444444</v>
      </c>
      <c r="J472" s="4"/>
      <c r="K472" s="4"/>
      <c r="L472" s="5">
        <f>IF(J472&gt;0,MOD(K472-J472,1),"")</f>
        <v/>
      </c>
      <c r="M472" s="5">
        <v>0.3541666666666667</v>
      </c>
      <c r="N472" s="5">
        <v>0.2878472222222222</v>
      </c>
      <c r="O472" s="3">
        <v>0</v>
      </c>
      <c r="P472" s="3">
        <v>0</v>
      </c>
      <c r="Q472" s="3" t="s">
        <v>24</v>
      </c>
      <c r="R472" s="3" t="s">
        <v>24</v>
      </c>
      <c r="S472" s="5">
        <f>_xlfn.IFS(F472="2C1",I472,F472="3C1",I472*0.666666666667,F472="3C2",I472*0.333333333333,F472="3CX","",F472="4C1",I472*0.5,F472="4C2",I472*0.5,F472="4C3","",F472="4CR","",F472="2CR","",F472="2CO","",F472="4CX","",TRUE,"")</f>
        <v>0.2878472222222222</v>
      </c>
      <c r="T472" s="3" t="s">
        <v>196</v>
      </c>
    </row>
    <row r="473" spans="1:20">
      <c r="A473" s="2">
        <v>45921</v>
      </c>
      <c r="B473" s="3" t="s">
        <v>43</v>
      </c>
      <c r="C473" s="3" t="s">
        <v>40</v>
      </c>
      <c r="D473" s="3" t="s">
        <v>20</v>
      </c>
      <c r="E473" s="3" t="s">
        <v>32</v>
      </c>
      <c r="F473" s="3" t="s">
        <v>51</v>
      </c>
      <c r="G473" s="4">
        <v>0.1923611111111111</v>
      </c>
      <c r="H473" s="4">
        <v>0.8458333333333333</v>
      </c>
      <c r="I473" s="5">
        <v>0.6534722222222222</v>
      </c>
      <c r="J473" s="4"/>
      <c r="K473" s="4"/>
      <c r="L473" s="5">
        <f>IF(J473&gt;0,MOD(K473-J473,1),"")</f>
        <v/>
      </c>
      <c r="M473" s="5">
        <v>0.325</v>
      </c>
      <c r="N473" s="5">
        <v>0.3267361111111111</v>
      </c>
      <c r="O473" s="3">
        <v>0</v>
      </c>
      <c r="P473" s="3">
        <v>0</v>
      </c>
      <c r="Q473" s="3" t="s">
        <v>24</v>
      </c>
      <c r="R473" s="3" t="s">
        <v>24</v>
      </c>
      <c r="S473" s="5">
        <f>_xlfn.IFS(F473="2C1",I473,F473="3C1",I473*0.666666666667,F473="3C2",I473*0.333333333333,F473="3CX","",F473="4C1",I473*0.5,F473="4C2",I473*0.5,F473="4C3","",F473="4CR","",F473="2CR","",F473="2CO","",F473="4CX","",TRUE,"")</f>
        <v>0.3267361111111111</v>
      </c>
      <c r="T473" s="3" t="s">
        <v>196</v>
      </c>
    </row>
    <row r="474" spans="1:20">
      <c r="A474" s="6" t="s">
        <v>36</v>
      </c>
      <c r="B474" s="6"/>
      <c r="C474" s="6"/>
      <c r="D474" s="6"/>
      <c r="E474" s="6"/>
      <c r="F474" s="6"/>
      <c r="G474" s="6"/>
      <c r="H474" s="6"/>
      <c r="I474" s="7">
        <f>SUM(I464:I473)</f>
        <v>4.990972222222222</v>
      </c>
      <c r="J474" s="8"/>
      <c r="K474" s="8"/>
      <c r="L474" s="7">
        <f>SUM(L464:L473)</f>
        <v>0.0</v>
      </c>
      <c r="M474" s="7">
        <f>SUM(M464:M473)</f>
        <v>2.5076388888888888</v>
      </c>
      <c r="N474" s="7">
        <f>SUM(N464:N473)</f>
        <v>2.4895833333333335</v>
      </c>
      <c r="O474" s="8">
        <f>SUM(O464:O473)</f>
        <v>2</v>
      </c>
      <c r="P474" s="8">
        <f>SUM(P464:P473)</f>
        <v>2</v>
      </c>
      <c r="Q474" s="8"/>
      <c r="R474" s="8"/>
      <c r="S474" s="7">
        <f>SUM(S464:S473)</f>
        <v>2.4895833333333335</v>
      </c>
      <c r="T474" s="8"/>
    </row>
    <row r="475" spans="1:20">
      <c r="A475" s="6" t="s">
        <v>37</v>
      </c>
      <c r="B475" s="6"/>
      <c r="C475" s="6"/>
      <c r="D475" s="6"/>
      <c r="E475" s="6"/>
      <c r="F475" s="6"/>
      <c r="G475" s="6"/>
      <c r="H475" s="6"/>
      <c r="I475" s="7">
        <v>636.4166666666666</v>
      </c>
      <c r="J475" s="8"/>
      <c r="K475" s="8"/>
      <c r="L475" s="7"/>
      <c r="M475" s="7">
        <v>232.4430555555556</v>
      </c>
      <c r="N475" s="7">
        <v>478.3236111111111</v>
      </c>
      <c r="O475" s="8">
        <v>1797</v>
      </c>
      <c r="P475" s="8">
        <v>1806</v>
      </c>
      <c r="Q475" s="8"/>
      <c r="R475" s="8"/>
      <c r="S475" s="7">
        <v>298.4715277777778</v>
      </c>
      <c r="T475" s="8"/>
    </row>
    <row r="476" spans="1:20">
      <c r="A476" s="6" t="s">
        <v>38</v>
      </c>
      <c r="B476" s="6"/>
      <c r="C476" s="6"/>
      <c r="D476" s="6"/>
      <c r="E476" s="6"/>
      <c r="F476" s="6"/>
      <c r="G476" s="6"/>
      <c r="H476" s="6"/>
      <c r="I476" s="7">
        <v>641.4076388888889</v>
      </c>
      <c r="J476" s="8"/>
      <c r="K476" s="8"/>
      <c r="L476" s="7"/>
      <c r="M476" s="7">
        <v>234.9506944444445</v>
      </c>
      <c r="N476" s="7">
        <v>480.8131944444444</v>
      </c>
      <c r="O476" s="8">
        <v>1799</v>
      </c>
      <c r="P476" s="8">
        <v>1808</v>
      </c>
      <c r="Q476" s="8"/>
      <c r="R476" s="8"/>
      <c r="S476" s="7">
        <v>300.9611111111111</v>
      </c>
      <c r="T476" s="8"/>
    </row>
    <row r="485" spans="1:20">
      <c r="A485" s="1" t="s">
        <v>0</v>
      </c>
      <c r="B485" s="1" t="s">
        <v>1</v>
      </c>
      <c r="C485" s="1" t="s">
        <v>2</v>
      </c>
      <c r="D485" s="1" t="s">
        <v>3</v>
      </c>
      <c r="E485" s="1" t="s">
        <v>4</v>
      </c>
      <c r="F485" s="1" t="s">
        <v>5</v>
      </c>
      <c r="G485" s="1" t="s">
        <v>6</v>
      </c>
      <c r="H485" s="1" t="s">
        <v>7</v>
      </c>
      <c r="I485" s="1" t="s">
        <v>8</v>
      </c>
      <c r="J485" s="1" t="s">
        <v>3</v>
      </c>
      <c r="K485" s="1" t="s">
        <v>9</v>
      </c>
      <c r="L485" s="1" t="s">
        <v>10</v>
      </c>
      <c r="M485" s="1" t="s">
        <v>11</v>
      </c>
      <c r="N485" s="1" t="s">
        <v>12</v>
      </c>
      <c r="O485" s="1" t="s">
        <v>13</v>
      </c>
      <c r="P485" s="1" t="s">
        <v>14</v>
      </c>
      <c r="Q485" s="1" t="s">
        <v>15</v>
      </c>
      <c r="R485" s="1" t="s">
        <v>16</v>
      </c>
      <c r="S485" s="1" t="s">
        <v>17</v>
      </c>
      <c r="T485" s="1" t="s">
        <v>18</v>
      </c>
    </row>
    <row r="486" spans="1:20">
      <c r="A486" s="2">
        <v>45929</v>
      </c>
      <c r="B486" s="3" t="s">
        <v>56</v>
      </c>
      <c r="C486" s="3" t="s">
        <v>20</v>
      </c>
      <c r="D486" s="3" t="s">
        <v>57</v>
      </c>
      <c r="E486" s="3" t="s">
        <v>50</v>
      </c>
      <c r="F486" s="3" t="s">
        <v>48</v>
      </c>
      <c r="G486" s="4">
        <v>0.1708333333333333</v>
      </c>
      <c r="H486" s="4">
        <v>0.6104166666666667</v>
      </c>
      <c r="I486" s="5">
        <v>0.4395833333333333</v>
      </c>
      <c r="J486" s="4"/>
      <c r="K486" s="4"/>
      <c r="L486" s="5">
        <f>IF(J486&gt;0,MOD(K486-J486,1),"")</f>
        <v/>
      </c>
      <c r="M486" s="5">
        <v>0.08958333333333333</v>
      </c>
      <c r="N486" s="5">
        <v>0.2197916666666667</v>
      </c>
      <c r="O486" s="3">
        <v>0</v>
      </c>
      <c r="P486" s="3">
        <v>0</v>
      </c>
      <c r="Q486" s="3" t="s">
        <v>24</v>
      </c>
      <c r="R486" s="3" t="s">
        <v>24</v>
      </c>
      <c r="S486" s="5">
        <f>_xlfn.IFS(F486="2C1",I486,F486="3C1",I486*0.666666666667,F486="3C2",I486*0.333333333333,F486="3CX","",F486="4C1",I486*0.5,F486="4C2",I486*0.5,F486="4C3","",F486="4CR","",F486="2CR","",F486="2CO","",F486="4CX","",TRUE,"")</f>
        <v>0.21979166666666666</v>
      </c>
      <c r="T486" s="3" t="s">
        <v>197</v>
      </c>
    </row>
    <row r="487" spans="1:20">
      <c r="A487" s="2">
        <v>45931</v>
      </c>
      <c r="B487" s="3" t="s">
        <v>60</v>
      </c>
      <c r="C487" s="3" t="s">
        <v>57</v>
      </c>
      <c r="D487" s="3" t="s">
        <v>20</v>
      </c>
      <c r="E487" s="3" t="s">
        <v>44</v>
      </c>
      <c r="F487" s="3" t="s">
        <v>51</v>
      </c>
      <c r="G487" s="4">
        <v>0.7340277777777777</v>
      </c>
      <c r="H487" s="4">
        <v>0.2805555555555556</v>
      </c>
      <c r="I487" s="5">
        <v>0.5465277777777777</v>
      </c>
      <c r="J487" s="4"/>
      <c r="K487" s="4"/>
      <c r="L487" s="5">
        <f>IF(J487&gt;0,MOD(K487-J487,1),"")</f>
        <v/>
      </c>
      <c r="M487" s="5">
        <v>0.1618055555555556</v>
      </c>
      <c r="N487" s="5">
        <v>0.2732638888888889</v>
      </c>
      <c r="O487" s="3">
        <v>1</v>
      </c>
      <c r="P487" s="3">
        <v>1</v>
      </c>
      <c r="Q487" s="3" t="s">
        <v>24</v>
      </c>
      <c r="R487" s="3" t="s">
        <v>24</v>
      </c>
      <c r="S487" s="5">
        <f>_xlfn.IFS(F487="2C1",I487,F487="3C1",I487*0.666666666667,F487="3C2",I487*0.333333333333,F487="3CX","",F487="4C1",I487*0.5,F487="4C2",I487*0.5,F487="4C3","",F487="4CR","",F487="2CR","",F487="2CO","",F487="4CX","",TRUE,"")</f>
        <v>0.27326388888888886</v>
      </c>
      <c r="T487" s="3" t="s">
        <v>198</v>
      </c>
    </row>
    <row r="488" spans="1:20">
      <c r="A488" s="2">
        <v>45935</v>
      </c>
      <c r="B488" s="3" t="s">
        <v>56</v>
      </c>
      <c r="C488" s="3" t="s">
        <v>20</v>
      </c>
      <c r="D488" s="3" t="s">
        <v>57</v>
      </c>
      <c r="E488" s="3" t="s">
        <v>50</v>
      </c>
      <c r="F488" s="3" t="s">
        <v>51</v>
      </c>
      <c r="G488" s="4">
        <v>0.1555555555555556</v>
      </c>
      <c r="H488" s="4">
        <v>0.6215277777777778</v>
      </c>
      <c r="I488" s="5">
        <v>0.4659722222222222</v>
      </c>
      <c r="J488" s="4"/>
      <c r="K488" s="4"/>
      <c r="L488" s="5">
        <f>IF(J488&gt;0,MOD(K488-J488,1),"")</f>
        <v/>
      </c>
      <c r="M488" s="5">
        <v>0.1006944444444444</v>
      </c>
      <c r="N488" s="5">
        <v>0.2329861111111111</v>
      </c>
      <c r="O488" s="3">
        <v>0</v>
      </c>
      <c r="P488" s="3">
        <v>0</v>
      </c>
      <c r="Q488" s="3" t="s">
        <v>24</v>
      </c>
      <c r="R488" s="3" t="s">
        <v>24</v>
      </c>
      <c r="S488" s="5">
        <f>_xlfn.IFS(F488="2C1",I488,F488="3C1",I488*0.666666666667,F488="3C2",I488*0.333333333333,F488="3CX","",F488="4C1",I488*0.5,F488="4C2",I488*0.5,F488="4C3","",F488="4CR","",F488="2CR","",F488="2CO","",F488="4CX","",TRUE,"")</f>
        <v>0.23298611111111112</v>
      </c>
      <c r="T488" s="3" t="s">
        <v>199</v>
      </c>
    </row>
    <row r="489" spans="1:20">
      <c r="A489" s="2">
        <v>45937</v>
      </c>
      <c r="B489" s="3" t="s">
        <v>60</v>
      </c>
      <c r="C489" s="3" t="s">
        <v>57</v>
      </c>
      <c r="D489" s="3" t="s">
        <v>20</v>
      </c>
      <c r="E489" s="3" t="s">
        <v>28</v>
      </c>
      <c r="F489" s="3" t="s">
        <v>48</v>
      </c>
      <c r="G489" s="4">
        <v>0.7354166666666667</v>
      </c>
      <c r="H489" s="4">
        <v>0.2847222222222222</v>
      </c>
      <c r="I489" s="5">
        <v>0.5493055555555556</v>
      </c>
      <c r="J489" s="4"/>
      <c r="K489" s="4"/>
      <c r="L489" s="5">
        <f>IF(J489&gt;0,MOD(K489-J489,1),"")</f>
        <v/>
      </c>
      <c r="M489" s="5">
        <v>0.1604166666666667</v>
      </c>
      <c r="N489" s="5">
        <v>0.2746527777777778</v>
      </c>
      <c r="O489" s="3">
        <v>0</v>
      </c>
      <c r="P489" s="3">
        <v>0</v>
      </c>
      <c r="Q489" s="3" t="s">
        <v>24</v>
      </c>
      <c r="R489" s="3" t="s">
        <v>24</v>
      </c>
      <c r="S489" s="5">
        <f>_xlfn.IFS(F489="2C1",I489,F489="3C1",I489*0.666666666667,F489="3C2",I489*0.333333333333,F489="3CX","",F489="4C1",I489*0.5,F489="4C2",I489*0.5,F489="4C3","",F489="4CR","",F489="2CR","",F489="2CO","",F489="4CX","",TRUE,"")</f>
        <v>0.2746527777777778</v>
      </c>
      <c r="T489" s="3" t="s">
        <v>200</v>
      </c>
    </row>
    <row r="490" spans="1:20">
      <c r="A490" s="2">
        <v>45942</v>
      </c>
      <c r="B490" s="3" t="s">
        <v>121</v>
      </c>
      <c r="C490" s="3" t="s">
        <v>20</v>
      </c>
      <c r="D490" s="3" t="s">
        <v>122</v>
      </c>
      <c r="E490" s="3" t="s">
        <v>44</v>
      </c>
      <c r="F490" s="3" t="s">
        <v>51</v>
      </c>
      <c r="G490" s="4">
        <v>0.3986111111111111</v>
      </c>
      <c r="H490" s="4">
        <v>0.84375</v>
      </c>
      <c r="I490" s="5">
        <v>0.4451388888888889</v>
      </c>
      <c r="J490" s="4"/>
      <c r="K490" s="4"/>
      <c r="L490" s="5">
        <f>IF(J490&gt;0,MOD(K490-J490,1),"")</f>
        <v/>
      </c>
      <c r="M490" s="5">
        <v>0.3229166666666667</v>
      </c>
      <c r="N490" s="5">
        <v>0.2225694444444444</v>
      </c>
      <c r="O490" s="3">
        <v>1</v>
      </c>
      <c r="P490" s="3">
        <v>1</v>
      </c>
      <c r="Q490" s="3" t="s">
        <v>24</v>
      </c>
      <c r="R490" s="3" t="s">
        <v>24</v>
      </c>
      <c r="S490" s="5">
        <f>_xlfn.IFS(F490="2C1",I490,F490="3C1",I490*0.666666666667,F490="3C2",I490*0.333333333333,F490="3CX","",F490="4C1",I490*0.5,F490="4C2",I490*0.5,F490="4C3","",F490="4CR","",F490="2CR","",F490="2CO","",F490="4CX","",TRUE,"")</f>
        <v>0.22256944444444443</v>
      </c>
      <c r="T490" s="3" t="s">
        <v>201</v>
      </c>
    </row>
    <row r="491" spans="1:20">
      <c r="A491" s="2">
        <v>45943</v>
      </c>
      <c r="B491" s="3" t="s">
        <v>124</v>
      </c>
      <c r="C491" s="3" t="s">
        <v>122</v>
      </c>
      <c r="D491" s="3" t="s">
        <v>20</v>
      </c>
      <c r="E491" s="3" t="s">
        <v>172</v>
      </c>
      <c r="F491" s="3" t="s">
        <v>48</v>
      </c>
      <c r="G491" s="4">
        <v>0.9458333333333333</v>
      </c>
      <c r="H491" s="4">
        <v>0.4965277777777778</v>
      </c>
      <c r="I491" s="5">
        <v>0.5506944444444445</v>
      </c>
      <c r="J491" s="4"/>
      <c r="K491" s="4"/>
      <c r="L491" s="5">
        <f>IF(J491&gt;0,MOD(K491-J491,1),"")</f>
        <v/>
      </c>
      <c r="M491" s="5">
        <v>0</v>
      </c>
      <c r="N491" s="5">
        <v>0.2753472222222222</v>
      </c>
      <c r="O491" s="3">
        <v>0</v>
      </c>
      <c r="P491" s="3">
        <v>0</v>
      </c>
      <c r="Q491" s="3" t="s">
        <v>24</v>
      </c>
      <c r="R491" s="3" t="s">
        <v>24</v>
      </c>
      <c r="S491" s="5">
        <f>_xlfn.IFS(F491="2C1",I491,F491="3C1",I491*0.666666666667,F491="3C2",I491*0.333333333333,F491="3CX","",F491="4C1",I491*0.5,F491="4C2",I491*0.5,F491="4C3","",F491="4CR","",F491="2CR","",F491="2CO","",F491="4CX","",TRUE,"")</f>
        <v>0.27534722222222224</v>
      </c>
      <c r="T491" s="3" t="s">
        <v>201</v>
      </c>
    </row>
    <row r="492" spans="1:20">
      <c r="A492" s="2">
        <v>45951</v>
      </c>
      <c r="B492" s="3" t="s">
        <v>39</v>
      </c>
      <c r="C492" s="3" t="s">
        <v>20</v>
      </c>
      <c r="D492" s="3" t="s">
        <v>40</v>
      </c>
      <c r="E492" s="3" t="s">
        <v>50</v>
      </c>
      <c r="F492" s="3" t="s">
        <v>51</v>
      </c>
      <c r="G492" s="4">
        <v>0.5173611111111112</v>
      </c>
      <c r="H492" s="4">
        <v>0.08611111111111111</v>
      </c>
      <c r="I492" s="5">
        <v>0.56875</v>
      </c>
      <c r="J492" s="4"/>
      <c r="K492" s="4"/>
      <c r="L492" s="5">
        <f>IF(J492&gt;0,MOD(K492-J492,1),"")</f>
        <v/>
      </c>
      <c r="M492" s="5">
        <v>0.3541666666666667</v>
      </c>
      <c r="N492" s="5">
        <v>0.284375</v>
      </c>
      <c r="O492" s="3">
        <v>1</v>
      </c>
      <c r="P492" s="3">
        <v>1</v>
      </c>
      <c r="Q492" s="3" t="s">
        <v>24</v>
      </c>
      <c r="R492" s="3" t="s">
        <v>24</v>
      </c>
      <c r="S492" s="5">
        <f>_xlfn.IFS(F492="2C1",I492,F492="3C1",I492*0.666666666667,F492="3C2",I492*0.333333333333,F492="3CX","",F492="4C1",I492*0.5,F492="4C2",I492*0.5,F492="4C3","",F492="4CR","",F492="2CR","",F492="2CO","",F492="4CX","",TRUE,"")</f>
        <v>0.284375</v>
      </c>
      <c r="T492" s="3" t="s">
        <v>202</v>
      </c>
    </row>
    <row r="493" spans="1:20">
      <c r="A493" s="2">
        <v>45954</v>
      </c>
      <c r="B493" s="3" t="s">
        <v>43</v>
      </c>
      <c r="C493" s="3" t="s">
        <v>40</v>
      </c>
      <c r="D493" s="3" t="s">
        <v>20</v>
      </c>
      <c r="E493" s="3" t="s">
        <v>32</v>
      </c>
      <c r="F493" s="3" t="s">
        <v>48</v>
      </c>
      <c r="G493" s="4">
        <v>0.2041666666666667</v>
      </c>
      <c r="H493" s="4">
        <v>0.8479166666666667</v>
      </c>
      <c r="I493" s="5">
        <v>0.64375</v>
      </c>
      <c r="J493" s="4"/>
      <c r="K493" s="4"/>
      <c r="L493" s="5">
        <f>IF(J493&gt;0,MOD(K493-J493,1),"")</f>
        <v/>
      </c>
      <c r="M493" s="5">
        <v>0.3270833333333333</v>
      </c>
      <c r="N493" s="5">
        <v>0.321875</v>
      </c>
      <c r="O493" s="3">
        <v>0</v>
      </c>
      <c r="P493" s="3">
        <v>0</v>
      </c>
      <c r="Q493" s="3" t="s">
        <v>24</v>
      </c>
      <c r="R493" s="3" t="s">
        <v>24</v>
      </c>
      <c r="S493" s="5">
        <f>_xlfn.IFS(F493="2C1",I493,F493="3C1",I493*0.666666666667,F493="3C2",I493*0.333333333333,F493="3CX","",F493="4C1",I493*0.5,F493="4C2",I493*0.5,F493="4C3","",F493="4CR","",F493="2CR","",F493="2CO","",F493="4CX","",TRUE,"")</f>
        <v>0.321875</v>
      </c>
      <c r="T493" s="3" t="s">
        <v>202</v>
      </c>
    </row>
    <row r="494" spans="1:20">
      <c r="A494" s="2">
        <v>45957</v>
      </c>
      <c r="B494" s="3" t="s">
        <v>26</v>
      </c>
      <c r="C494" s="3" t="s">
        <v>21</v>
      </c>
      <c r="D494" s="3" t="s">
        <v>20</v>
      </c>
      <c r="E494" s="3" t="s">
        <v>172</v>
      </c>
      <c r="F494" s="3" t="s">
        <v>46</v>
      </c>
      <c r="G494" s="4">
        <v>0.14375</v>
      </c>
      <c r="H494" s="4">
        <v>0.2576388888888889</v>
      </c>
      <c r="I494" s="5">
        <v>0.1138888888888889</v>
      </c>
      <c r="J494" s="4"/>
      <c r="K494" s="4"/>
      <c r="L494" s="5">
        <f>IF(J494&gt;0,MOD(K494-J494,1),"")</f>
        <v/>
      </c>
      <c r="M494" s="5">
        <v>0</v>
      </c>
      <c r="N494" s="5">
        <v>0.1138888888888889</v>
      </c>
      <c r="O494" s="3">
        <v>0</v>
      </c>
      <c r="P494" s="3">
        <v>0</v>
      </c>
      <c r="Q494" s="3" t="s">
        <v>24</v>
      </c>
      <c r="R494" s="3" t="s">
        <v>24</v>
      </c>
      <c r="S494" s="5">
        <f>_xlfn.IFS(F494="2C1",I494,F494="3C1",I494*0.666666666667,F494="3C2",I494*0.333333333333,F494="3CX","",F494="4C1",I494*0.5,F494="4C2",I494*0.5,F494="4C3","",F494="4CR","",F494="2CR","",F494="2CO","",F494="4CX","",TRUE,"")</f>
        <v>0.11388888888888889</v>
      </c>
      <c r="T494" s="3"/>
    </row>
    <row r="495" spans="1:20">
      <c r="A495" s="2">
        <v>45957</v>
      </c>
      <c r="B495" s="3" t="s">
        <v>19</v>
      </c>
      <c r="C495" s="3" t="s">
        <v>20</v>
      </c>
      <c r="D495" s="3" t="s">
        <v>21</v>
      </c>
      <c r="E495" s="3" t="s">
        <v>172</v>
      </c>
      <c r="F495" s="3" t="s">
        <v>46</v>
      </c>
      <c r="G495" s="4">
        <v>0.9979166666666667</v>
      </c>
      <c r="H495" s="4">
        <v>0.09444444444444444</v>
      </c>
      <c r="I495" s="5">
        <v>0.09652777777777778</v>
      </c>
      <c r="J495" s="4"/>
      <c r="K495" s="4"/>
      <c r="L495" s="5">
        <f>IF(J495&gt;0,MOD(K495-J495,1),"")</f>
        <v/>
      </c>
      <c r="M495" s="5">
        <v>0</v>
      </c>
      <c r="N495" s="5">
        <v>0.09652777777777778</v>
      </c>
      <c r="O495" s="3">
        <v>1</v>
      </c>
      <c r="P495" s="3">
        <v>1</v>
      </c>
      <c r="Q495" s="3" t="s">
        <v>24</v>
      </c>
      <c r="R495" s="3" t="s">
        <v>24</v>
      </c>
      <c r="S495" s="5">
        <f>_xlfn.IFS(F495="2C1",I495,F495="3C1",I495*0.666666666667,F495="3C2",I495*0.333333333333,F495="3CX","",F495="4C1",I495*0.5,F495="4C2",I495*0.5,F495="4C3","",F495="4CR","",F495="2CR","",F495="2CO","",F495="4CX","",TRUE,"")</f>
        <v>0.09652777777777778</v>
      </c>
      <c r="T495" s="3" t="s">
        <v>203</v>
      </c>
    </row>
    <row r="496" spans="1:20">
      <c r="A496" s="6" t="s">
        <v>36</v>
      </c>
      <c r="B496" s="6"/>
      <c r="C496" s="6"/>
      <c r="D496" s="6"/>
      <c r="E496" s="6"/>
      <c r="F496" s="6"/>
      <c r="G496" s="6"/>
      <c r="H496" s="6"/>
      <c r="I496" s="7">
        <f>SUM(I486:I495)</f>
        <v>4.420138888888889</v>
      </c>
      <c r="J496" s="8"/>
      <c r="K496" s="8"/>
      <c r="L496" s="7">
        <f>SUM(L486:L495)</f>
        <v>0.0</v>
      </c>
      <c r="M496" s="7">
        <f>SUM(M486:M495)</f>
        <v>1.5166666666666666</v>
      </c>
      <c r="N496" s="7">
        <f>SUM(N486:N495)</f>
        <v>2.3152777777777778</v>
      </c>
      <c r="O496" s="8">
        <f>SUM(O486:O495)</f>
        <v>4</v>
      </c>
      <c r="P496" s="8">
        <f>SUM(P486:P495)</f>
        <v>4</v>
      </c>
      <c r="Q496" s="8"/>
      <c r="R496" s="8"/>
      <c r="S496" s="7">
        <f>SUM(S486:S495)</f>
        <v>2.3152777777777778</v>
      </c>
      <c r="T496" s="8"/>
    </row>
    <row r="497" spans="1:20">
      <c r="A497" s="6" t="s">
        <v>37</v>
      </c>
      <c r="B497" s="6"/>
      <c r="C497" s="6"/>
      <c r="D497" s="6"/>
      <c r="E497" s="6"/>
      <c r="F497" s="6"/>
      <c r="G497" s="6"/>
      <c r="H497" s="6"/>
      <c r="I497" s="7">
        <v>641.4076388888889</v>
      </c>
      <c r="J497" s="8"/>
      <c r="K497" s="8"/>
      <c r="L497" s="7"/>
      <c r="M497" s="7">
        <v>234.9506944444445</v>
      </c>
      <c r="N497" s="7">
        <v>480.8131944444444</v>
      </c>
      <c r="O497" s="8">
        <v>1799</v>
      </c>
      <c r="P497" s="8">
        <v>1808</v>
      </c>
      <c r="Q497" s="8"/>
      <c r="R497" s="8"/>
      <c r="S497" s="7">
        <v>300.9611111111111</v>
      </c>
      <c r="T497" s="8"/>
    </row>
    <row r="498" spans="1:20">
      <c r="A498" s="6" t="s">
        <v>38</v>
      </c>
      <c r="B498" s="6"/>
      <c r="C498" s="6"/>
      <c r="D498" s="6"/>
      <c r="E498" s="6"/>
      <c r="F498" s="6"/>
      <c r="G498" s="6"/>
      <c r="H498" s="6"/>
      <c r="I498" s="7">
        <v>645.8277777777778</v>
      </c>
      <c r="J498" s="8"/>
      <c r="K498" s="8"/>
      <c r="L498" s="7"/>
      <c r="M498" s="7">
        <v>236.4673611111111</v>
      </c>
      <c r="N498" s="7">
        <v>483.1284722222222</v>
      </c>
      <c r="O498" s="8">
        <v>1803</v>
      </c>
      <c r="P498" s="8">
        <v>1812</v>
      </c>
      <c r="Q498" s="8"/>
      <c r="R498" s="8"/>
      <c r="S498" s="7">
        <v>303.2763888888889</v>
      </c>
      <c r="T498" s="8"/>
    </row>
    <row r="507" spans="1:20">
      <c r="A507" s="1" t="s">
        <v>0</v>
      </c>
      <c r="B507" s="1" t="s">
        <v>1</v>
      </c>
      <c r="C507" s="1" t="s">
        <v>2</v>
      </c>
      <c r="D507" s="1" t="s">
        <v>3</v>
      </c>
      <c r="E507" s="1" t="s">
        <v>4</v>
      </c>
      <c r="F507" s="1" t="s">
        <v>5</v>
      </c>
      <c r="G507" s="1" t="s">
        <v>6</v>
      </c>
      <c r="H507" s="1" t="s">
        <v>7</v>
      </c>
      <c r="I507" s="1" t="s">
        <v>8</v>
      </c>
      <c r="J507" s="1" t="s">
        <v>3</v>
      </c>
      <c r="K507" s="1" t="s">
        <v>9</v>
      </c>
      <c r="L507" s="1" t="s">
        <v>10</v>
      </c>
      <c r="M507" s="1" t="s">
        <v>11</v>
      </c>
      <c r="N507" s="1" t="s">
        <v>12</v>
      </c>
      <c r="O507" s="1" t="s">
        <v>13</v>
      </c>
      <c r="P507" s="1" t="s">
        <v>14</v>
      </c>
      <c r="Q507" s="1" t="s">
        <v>15</v>
      </c>
      <c r="R507" s="1" t="s">
        <v>16</v>
      </c>
      <c r="S507" s="1" t="s">
        <v>17</v>
      </c>
      <c r="T507" s="1" t="s">
        <v>18</v>
      </c>
    </row>
    <row r="508" spans="1:20">
      <c r="A508" s="2">
        <v>45968</v>
      </c>
      <c r="B508" s="3" t="s">
        <v>121</v>
      </c>
      <c r="C508" s="3" t="s">
        <v>20</v>
      </c>
      <c r="D508" s="3" t="s">
        <v>122</v>
      </c>
      <c r="E508" s="3" t="s">
        <v>189</v>
      </c>
      <c r="F508" s="3" t="s">
        <v>48</v>
      </c>
      <c r="G508" s="4">
        <v>0.4083333333333333</v>
      </c>
      <c r="H508" s="4">
        <v>0.83125</v>
      </c>
      <c r="I508" s="5">
        <v>0.4229166666666667</v>
      </c>
      <c r="J508" s="4"/>
      <c r="K508" s="4"/>
      <c r="L508" s="5">
        <f>IF(J508&gt;0,MOD(K508-J508,1),"")</f>
        <v/>
      </c>
      <c r="M508" s="5">
        <v>0.3104166666666667</v>
      </c>
      <c r="N508" s="5">
        <v>0.2114583333333333</v>
      </c>
      <c r="O508" s="3">
        <v>0</v>
      </c>
      <c r="P508" s="3">
        <v>0</v>
      </c>
      <c r="Q508" s="3" t="s">
        <v>24</v>
      </c>
      <c r="R508" s="3" t="s">
        <v>24</v>
      </c>
      <c r="S508" s="5">
        <f>_xlfn.IFS(F508="2C1",I508,F508="3C1",I508*0.666666666667,F508="3C2",I508*0.333333333333,F508="3CX","",F508="4C1",I508*0.5,F508="4C2",I508*0.5,F508="4C3","",F508="4CR","",F508="2CR","",F508="2CO","",F508="4CX","",TRUE,"")</f>
        <v>0.21145833333333333</v>
      </c>
      <c r="T508" s="3" t="s">
        <v>204</v>
      </c>
    </row>
    <row r="509" spans="1:20">
      <c r="A509" s="2">
        <v>45970</v>
      </c>
      <c r="B509" s="3" t="s">
        <v>124</v>
      </c>
      <c r="C509" s="3" t="s">
        <v>122</v>
      </c>
      <c r="D509" s="3" t="s">
        <v>20</v>
      </c>
      <c r="E509" s="3" t="s">
        <v>32</v>
      </c>
      <c r="F509" s="3" t="s">
        <v>51</v>
      </c>
      <c r="G509" s="4">
        <v>0.9333333333333333</v>
      </c>
      <c r="H509" s="4">
        <v>0.4666666666666667</v>
      </c>
      <c r="I509" s="5">
        <v>0.5333333333333333</v>
      </c>
      <c r="J509" s="4"/>
      <c r="K509" s="4"/>
      <c r="L509" s="5">
        <f>IF(J509&gt;0,MOD(K509-J509,1),"")</f>
        <v/>
      </c>
      <c r="M509" s="5">
        <v>0</v>
      </c>
      <c r="N509" s="5">
        <v>0.2666666666666667</v>
      </c>
      <c r="O509" s="3">
        <v>0</v>
      </c>
      <c r="P509" s="3">
        <v>0</v>
      </c>
      <c r="Q509" s="3" t="s">
        <v>24</v>
      </c>
      <c r="R509" s="3" t="s">
        <v>24</v>
      </c>
      <c r="S509" s="5">
        <f>_xlfn.IFS(F509="2C1",I509,F509="3C1",I509*0.666666666667,F509="3C2",I509*0.333333333333,F509="3CX","",F509="4C1",I509*0.5,F509="4C2",I509*0.5,F509="4C3","",F509="4CR","",F509="2CR","",F509="2CO","",F509="4CX","",TRUE,"")</f>
        <v>0.26666666666666666</v>
      </c>
      <c r="T509" s="3" t="s">
        <v>204</v>
      </c>
    </row>
    <row r="510" spans="1:20">
      <c r="A510" s="2">
        <v>45974</v>
      </c>
      <c r="B510" s="3" t="s">
        <v>39</v>
      </c>
      <c r="C510" s="3" t="s">
        <v>20</v>
      </c>
      <c r="D510" s="3" t="s">
        <v>40</v>
      </c>
      <c r="E510" s="3" t="s">
        <v>32</v>
      </c>
      <c r="F510" s="3" t="s">
        <v>48</v>
      </c>
      <c r="G510" s="4">
        <v>0.5388888888888889</v>
      </c>
      <c r="H510" s="4">
        <v>0.08749999999999999</v>
      </c>
      <c r="I510" s="5">
        <v>0.5486111111111112</v>
      </c>
      <c r="J510" s="4"/>
      <c r="K510" s="4"/>
      <c r="L510" s="5">
        <f>IF(J510&gt;0,MOD(K510-J510,1),"")</f>
        <v/>
      </c>
      <c r="M510" s="5">
        <v>0.3541666666666667</v>
      </c>
      <c r="N510" s="5">
        <v>0.2743055555555556</v>
      </c>
      <c r="O510" s="3">
        <v>0</v>
      </c>
      <c r="P510" s="3">
        <v>0</v>
      </c>
      <c r="Q510" s="3" t="s">
        <v>24</v>
      </c>
      <c r="R510" s="3" t="s">
        <v>24</v>
      </c>
      <c r="S510" s="5">
        <f>_xlfn.IFS(F510="2C1",I510,F510="3C1",I510*0.666666666667,F510="3C2",I510*0.333333333333,F510="3CX","",F510="4C1",I510*0.5,F510="4C2",I510*0.5,F510="4C3","",F510="4CR","",F510="2CR","",F510="2CO","",F510="4CX","",TRUE,"")</f>
        <v>0.2743055555555556</v>
      </c>
      <c r="T510" s="3" t="s">
        <v>205</v>
      </c>
    </row>
    <row r="511" spans="1:20">
      <c r="A511" s="2">
        <v>45977</v>
      </c>
      <c r="B511" s="3" t="s">
        <v>43</v>
      </c>
      <c r="C511" s="3" t="s">
        <v>40</v>
      </c>
      <c r="D511" s="3" t="s">
        <v>20</v>
      </c>
      <c r="E511" s="3" t="s">
        <v>28</v>
      </c>
      <c r="F511" s="3" t="s">
        <v>48</v>
      </c>
      <c r="G511" s="4">
        <v>0.20625</v>
      </c>
      <c r="H511" s="4">
        <v>0.84375</v>
      </c>
      <c r="I511" s="5">
        <v>0.6375</v>
      </c>
      <c r="J511" s="4"/>
      <c r="K511" s="4"/>
      <c r="L511" s="5">
        <f>IF(J511&gt;0,MOD(K511-J511,1),"")</f>
        <v/>
      </c>
      <c r="M511" s="5">
        <v>0.3229166666666667</v>
      </c>
      <c r="N511" s="5">
        <v>0.31875</v>
      </c>
      <c r="O511" s="3">
        <v>0</v>
      </c>
      <c r="P511" s="3">
        <v>0</v>
      </c>
      <c r="Q511" s="3" t="s">
        <v>24</v>
      </c>
      <c r="R511" s="3" t="s">
        <v>24</v>
      </c>
      <c r="S511" s="5">
        <f>_xlfn.IFS(F511="2C1",I511,F511="3C1",I511*0.666666666667,F511="3C2",I511*0.333333333333,F511="3CX","",F511="4C1",I511*0.5,F511="4C2",I511*0.5,F511="4C3","",F511="4CR","",F511="2CR","",F511="2CO","",F511="4CX","",TRUE,"")</f>
        <v>0.31875</v>
      </c>
      <c r="T511" s="3" t="s">
        <v>205</v>
      </c>
    </row>
    <row r="512" spans="1:20">
      <c r="A512" s="2">
        <v>45981</v>
      </c>
      <c r="B512" s="3" t="s">
        <v>90</v>
      </c>
      <c r="C512" s="3" t="s">
        <v>20</v>
      </c>
      <c r="D512" s="3" t="s">
        <v>91</v>
      </c>
      <c r="E512" s="3" t="s">
        <v>189</v>
      </c>
      <c r="F512" s="3" t="s">
        <v>46</v>
      </c>
      <c r="G512" s="4">
        <v>0.3444444444444444</v>
      </c>
      <c r="H512" s="4">
        <v>0.6076388888888888</v>
      </c>
      <c r="I512" s="5">
        <v>0.2631944444444445</v>
      </c>
      <c r="J512" s="4"/>
      <c r="K512" s="4"/>
      <c r="L512" s="5">
        <f>IF(J512&gt;0,MOD(K512-J512,1),"")</f>
        <v/>
      </c>
      <c r="M512" s="5">
        <v>0.08680555555555555</v>
      </c>
      <c r="N512" s="5">
        <v>0.2631944444444445</v>
      </c>
      <c r="O512" s="3">
        <v>1</v>
      </c>
      <c r="P512" s="3">
        <v>1</v>
      </c>
      <c r="Q512" s="3" t="s">
        <v>24</v>
      </c>
      <c r="R512" s="3" t="s">
        <v>24</v>
      </c>
      <c r="S512" s="5">
        <f>_xlfn.IFS(F512="2C1",I512,F512="3C1",I512*0.666666666667,F512="3C2",I512*0.333333333333,F512="3CX","",F512="4C1",I512*0.5,F512="4C2",I512*0.5,F512="4C3","",F512="4CR","",F512="2CR","",F512="2CO","",F512="4CX","",TRUE,"")</f>
        <v>0.26319444444444445</v>
      </c>
      <c r="T512" s="3" t="s">
        <v>206</v>
      </c>
    </row>
    <row r="513" spans="1:20">
      <c r="A513" s="2">
        <v>45983</v>
      </c>
      <c r="B513" s="3" t="s">
        <v>93</v>
      </c>
      <c r="C513" s="3" t="s">
        <v>91</v>
      </c>
      <c r="D513" s="3" t="s">
        <v>20</v>
      </c>
      <c r="E513" s="3" t="s">
        <v>189</v>
      </c>
      <c r="F513" s="3" t="s">
        <v>46</v>
      </c>
      <c r="G513" s="4">
        <v>0.675</v>
      </c>
      <c r="H513" s="4">
        <v>0.8847222222222222</v>
      </c>
      <c r="I513" s="5">
        <v>0.2097222222222222</v>
      </c>
      <c r="J513" s="4"/>
      <c r="K513" s="4"/>
      <c r="L513" s="5">
        <f>IF(J513&gt;0,MOD(K513-J513,1),"")</f>
        <v/>
      </c>
      <c r="M513" s="5">
        <v>0.2208333333333333</v>
      </c>
      <c r="N513" s="5">
        <v>0.2097222222222222</v>
      </c>
      <c r="O513" s="3">
        <v>0</v>
      </c>
      <c r="P513" s="3">
        <v>0</v>
      </c>
      <c r="Q513" s="3" t="s">
        <v>24</v>
      </c>
      <c r="R513" s="3" t="s">
        <v>24</v>
      </c>
      <c r="S513" s="5">
        <f>_xlfn.IFS(F513="2C1",I513,F513="3C1",I513*0.666666666667,F513="3C2",I513*0.333333333333,F513="3CX","",F513="4C1",I513*0.5,F513="4C2",I513*0.5,F513="4C3","",F513="4CR","",F513="2CR","",F513="2CO","",F513="4CX","",TRUE,"")</f>
        <v>0.20972222222222223</v>
      </c>
      <c r="T513" s="3" t="s">
        <v>206</v>
      </c>
    </row>
    <row r="514" spans="1:20">
      <c r="A514" s="2">
        <v>45987</v>
      </c>
      <c r="B514" s="3" t="s">
        <v>121</v>
      </c>
      <c r="C514" s="3" t="s">
        <v>20</v>
      </c>
      <c r="D514" s="3" t="s">
        <v>122</v>
      </c>
      <c r="E514" s="3" t="s">
        <v>44</v>
      </c>
      <c r="F514" s="3" t="s">
        <v>51</v>
      </c>
      <c r="G514" s="4">
        <v>0.4131944444444444</v>
      </c>
      <c r="H514" s="4">
        <v>0.8534722222222222</v>
      </c>
      <c r="I514" s="5">
        <v>0.4402777777777778</v>
      </c>
      <c r="J514" s="4"/>
      <c r="K514" s="4"/>
      <c r="L514" s="5">
        <f>IF(J514&gt;0,MOD(K514-J514,1),"")</f>
        <v/>
      </c>
      <c r="M514" s="5">
        <v>0.3326388888888889</v>
      </c>
      <c r="N514" s="5">
        <v>0.2201388888888889</v>
      </c>
      <c r="O514" s="3">
        <v>1</v>
      </c>
      <c r="P514" s="3">
        <v>1</v>
      </c>
      <c r="Q514" s="3" t="s">
        <v>24</v>
      </c>
      <c r="R514" s="3" t="s">
        <v>24</v>
      </c>
      <c r="S514" s="5">
        <f>_xlfn.IFS(F514="2C1",I514,F514="3C1",I514*0.666666666667,F514="3C2",I514*0.333333333333,F514="3CX","",F514="4C1",I514*0.5,F514="4C2",I514*0.5,F514="4C3","",F514="4CR","",F514="2CR","",F514="2CO","",F514="4CX","",TRUE,"")</f>
        <v>0.22013888888888888</v>
      </c>
      <c r="T514" s="3" t="s">
        <v>207</v>
      </c>
    </row>
    <row r="515" spans="1:20">
      <c r="A515" s="2">
        <v>45989</v>
      </c>
      <c r="B515" s="3" t="s">
        <v>124</v>
      </c>
      <c r="C515" s="3" t="s">
        <v>122</v>
      </c>
      <c r="D515" s="3" t="s">
        <v>20</v>
      </c>
      <c r="E515" s="3" t="s">
        <v>189</v>
      </c>
      <c r="F515" s="3" t="s">
        <v>48</v>
      </c>
      <c r="G515" s="4">
        <v>0.9347222222222222</v>
      </c>
      <c r="H515" s="4">
        <v>0.4520833333333333</v>
      </c>
      <c r="I515" s="5">
        <v>0.5173611111111112</v>
      </c>
      <c r="J515" s="4"/>
      <c r="K515" s="4"/>
      <c r="L515" s="5">
        <f>IF(J515&gt;0,MOD(K515-J515,1),"")</f>
        <v/>
      </c>
      <c r="M515" s="5">
        <v>0</v>
      </c>
      <c r="N515" s="5">
        <v>0.2586805555555556</v>
      </c>
      <c r="O515" s="3">
        <v>0</v>
      </c>
      <c r="P515" s="3">
        <v>0</v>
      </c>
      <c r="Q515" s="3" t="s">
        <v>24</v>
      </c>
      <c r="R515" s="3" t="s">
        <v>24</v>
      </c>
      <c r="S515" s="5">
        <f>_xlfn.IFS(F515="2C1",I515,F515="3C1",I515*0.666666666667,F515="3C2",I515*0.333333333333,F515="3CX","",F515="4C1",I515*0.5,F515="4C2",I515*0.5,F515="4C3","",F515="4CR","",F515="2CR","",F515="2CO","",F515="4CX","",TRUE,"")</f>
        <v>0.2586805555555556</v>
      </c>
      <c r="T515" s="3" t="s">
        <v>208</v>
      </c>
    </row>
    <row r="516" spans="1:20">
      <c r="A516" s="2">
        <v>45992</v>
      </c>
      <c r="B516" s="3" t="s">
        <v>39</v>
      </c>
      <c r="C516" s="3" t="s">
        <v>20</v>
      </c>
      <c r="D516" s="3" t="s">
        <v>40</v>
      </c>
      <c r="E516" s="3" t="s">
        <v>44</v>
      </c>
      <c r="F516" s="3" t="s">
        <v>48</v>
      </c>
      <c r="G516" s="4">
        <v>0.5368055555555555</v>
      </c>
      <c r="H516" s="4">
        <v>0.1125</v>
      </c>
      <c r="I516" s="5">
        <v>0.5756944444444444</v>
      </c>
      <c r="J516" s="4"/>
      <c r="K516" s="4"/>
      <c r="L516" s="5">
        <f>IF(J516&gt;0,MOD(K516-J516,1),"")</f>
        <v/>
      </c>
      <c r="M516" s="5">
        <v>0.3541666666666667</v>
      </c>
      <c r="N516" s="5">
        <v>0.2878472222222222</v>
      </c>
      <c r="O516" s="3">
        <v>0</v>
      </c>
      <c r="P516" s="3">
        <v>0</v>
      </c>
      <c r="Q516" s="3" t="s">
        <v>24</v>
      </c>
      <c r="R516" s="3" t="s">
        <v>24</v>
      </c>
      <c r="S516" s="5">
        <f>_xlfn.IFS(F516="2C1",I516,F516="3C1",I516*0.666666666667,F516="3C2",I516*0.333333333333,F516="3CX","",F516="4C1",I516*0.5,F516="4C2",I516*0.5,F516="4C3","",F516="4CR","",F516="2CR","",F516="2CO","",F516="4CX","",TRUE,"")</f>
        <v>0.2878472222222222</v>
      </c>
      <c r="T516" s="3"/>
    </row>
    <row r="517" spans="1:20">
      <c r="A517" s="2">
        <v>45994</v>
      </c>
      <c r="B517" s="3" t="s">
        <v>43</v>
      </c>
      <c r="C517" s="3" t="s">
        <v>40</v>
      </c>
      <c r="D517" s="3" t="s">
        <v>20</v>
      </c>
      <c r="E517" s="3" t="s">
        <v>32</v>
      </c>
      <c r="F517" s="3" t="s">
        <v>51</v>
      </c>
      <c r="G517" s="4">
        <v>0.2145833333333333</v>
      </c>
      <c r="H517" s="4">
        <v>0.8763888888888889</v>
      </c>
      <c r="I517" s="5">
        <v>0.6618055555555555</v>
      </c>
      <c r="J517" s="4"/>
      <c r="K517" s="4"/>
      <c r="L517" s="5">
        <f>IF(J517&gt;0,MOD(K517-J517,1),"")</f>
        <v/>
      </c>
      <c r="M517" s="5">
        <v>0.3541666666666667</v>
      </c>
      <c r="N517" s="5">
        <v>0.3309027777777778</v>
      </c>
      <c r="O517" s="3">
        <v>1</v>
      </c>
      <c r="P517" s="3">
        <v>1</v>
      </c>
      <c r="Q517" s="3" t="s">
        <v>24</v>
      </c>
      <c r="R517" s="3" t="s">
        <v>24</v>
      </c>
      <c r="S517" s="5">
        <f>_xlfn.IFS(F517="2C1",I517,F517="3C1",I517*0.666666666667,F517="3C2",I517*0.333333333333,F517="3CX","",F517="4C1",I517*0.5,F517="4C2",I517*0.5,F517="4C3","",F517="4CR","",F517="2CR","",F517="2CO","",F517="4CX","",TRUE,"")</f>
        <v>0.33090277777777777</v>
      </c>
      <c r="T517" s="3" t="s">
        <v>209</v>
      </c>
    </row>
    <row r="518" spans="1:20">
      <c r="A518" s="6" t="s">
        <v>36</v>
      </c>
      <c r="B518" s="6"/>
      <c r="C518" s="6"/>
      <c r="D518" s="6"/>
      <c r="E518" s="6"/>
      <c r="F518" s="6"/>
      <c r="G518" s="6"/>
      <c r="H518" s="6"/>
      <c r="I518" s="7">
        <f>SUM(I508:I517)</f>
        <v>4.810416666666667</v>
      </c>
      <c r="J518" s="8"/>
      <c r="K518" s="8"/>
      <c r="L518" s="7">
        <f>SUM(L508:L517)</f>
        <v>0.0</v>
      </c>
      <c r="M518" s="7">
        <f>SUM(M508:M517)</f>
        <v>2.3361111111111112</v>
      </c>
      <c r="N518" s="7">
        <f>SUM(N508:N517)</f>
        <v>2.6416666666666666</v>
      </c>
      <c r="O518" s="8">
        <f>SUM(O508:O517)</f>
        <v>3</v>
      </c>
      <c r="P518" s="8">
        <f>SUM(P508:P517)</f>
        <v>3</v>
      </c>
      <c r="Q518" s="8"/>
      <c r="R518" s="8"/>
      <c r="S518" s="7">
        <f>SUM(S508:S517)</f>
        <v>2.6416666666666666</v>
      </c>
      <c r="T518" s="8"/>
    </row>
    <row r="519" spans="1:20">
      <c r="A519" s="6" t="s">
        <v>37</v>
      </c>
      <c r="B519" s="6"/>
      <c r="C519" s="6"/>
      <c r="D519" s="6"/>
      <c r="E519" s="6"/>
      <c r="F519" s="6"/>
      <c r="G519" s="6"/>
      <c r="H519" s="6"/>
      <c r="I519" s="7">
        <v>645.8277777777778</v>
      </c>
      <c r="J519" s="8"/>
      <c r="K519" s="8"/>
      <c r="L519" s="7"/>
      <c r="M519" s="7">
        <v>236.4673611111111</v>
      </c>
      <c r="N519" s="7">
        <v>483.1284722222222</v>
      </c>
      <c r="O519" s="8">
        <v>1803</v>
      </c>
      <c r="P519" s="8">
        <v>1812</v>
      </c>
      <c r="Q519" s="8"/>
      <c r="R519" s="8"/>
      <c r="S519" s="7">
        <v>303.2763888888889</v>
      </c>
      <c r="T519" s="8"/>
    </row>
    <row r="520" spans="1:20">
      <c r="A520" s="6" t="s">
        <v>38</v>
      </c>
      <c r="B520" s="6"/>
      <c r="C520" s="6"/>
      <c r="D520" s="6"/>
      <c r="E520" s="6"/>
      <c r="F520" s="6"/>
      <c r="G520" s="6"/>
      <c r="H520" s="6"/>
      <c r="I520" s="7">
        <v>650.6381944444445</v>
      </c>
      <c r="J520" s="8"/>
      <c r="K520" s="8"/>
      <c r="L520" s="7"/>
      <c r="M520" s="7">
        <v>238.8034722222222</v>
      </c>
      <c r="N520" s="7">
        <v>485.7701388888889</v>
      </c>
      <c r="O520" s="8">
        <v>1806</v>
      </c>
      <c r="P520" s="8">
        <v>1815</v>
      </c>
      <c r="Q520" s="8"/>
      <c r="R520" s="8"/>
      <c r="S520" s="7">
        <v>305.9180555555556</v>
      </c>
      <c r="T520" s="8"/>
    </row>
    <row r="529" spans="1:20">
      <c r="A529" s="1" t="s">
        <v>0</v>
      </c>
      <c r="B529" s="1" t="s">
        <v>1</v>
      </c>
      <c r="C529" s="1" t="s">
        <v>2</v>
      </c>
      <c r="D529" s="1" t="s">
        <v>3</v>
      </c>
      <c r="E529" s="1" t="s">
        <v>4</v>
      </c>
      <c r="F529" s="1" t="s">
        <v>5</v>
      </c>
      <c r="G529" s="1" t="s">
        <v>6</v>
      </c>
      <c r="H529" s="1" t="s">
        <v>7</v>
      </c>
      <c r="I529" s="1" t="s">
        <v>8</v>
      </c>
      <c r="J529" s="1" t="s">
        <v>3</v>
      </c>
      <c r="K529" s="1" t="s">
        <v>9</v>
      </c>
      <c r="L529" s="1" t="s">
        <v>10</v>
      </c>
      <c r="M529" s="1" t="s">
        <v>11</v>
      </c>
      <c r="N529" s="1" t="s">
        <v>12</v>
      </c>
      <c r="O529" s="1" t="s">
        <v>13</v>
      </c>
      <c r="P529" s="1" t="s">
        <v>14</v>
      </c>
      <c r="Q529" s="1" t="s">
        <v>15</v>
      </c>
      <c r="R529" s="1" t="s">
        <v>16</v>
      </c>
      <c r="S529" s="1" t="s">
        <v>17</v>
      </c>
      <c r="T529" s="1" t="s">
        <v>18</v>
      </c>
    </row>
    <row r="530" spans="1:20">
      <c r="A530" s="2">
        <v>45999</v>
      </c>
      <c r="B530" s="3" t="s">
        <v>39</v>
      </c>
      <c r="C530" s="3" t="s">
        <v>20</v>
      </c>
      <c r="D530" s="3" t="s">
        <v>40</v>
      </c>
      <c r="E530" s="3" t="s">
        <v>44</v>
      </c>
      <c r="F530" s="3" t="s">
        <v>48</v>
      </c>
      <c r="G530" s="4">
        <v>0.5368055555555555</v>
      </c>
      <c r="H530" s="4">
        <v>0.08541666666666667</v>
      </c>
      <c r="I530" s="5">
        <v>0.5486111111111112</v>
      </c>
      <c r="J530" s="4"/>
      <c r="K530" s="4"/>
      <c r="L530" s="5">
        <f>IF(J530&gt;0,MOD(K530-J530,1),"")</f>
        <v/>
      </c>
      <c r="M530" s="5">
        <v>0.3541666666666667</v>
      </c>
      <c r="N530" s="5">
        <v>0.2743055555555556</v>
      </c>
      <c r="O530" s="3">
        <v>0</v>
      </c>
      <c r="P530" s="3">
        <v>0</v>
      </c>
      <c r="Q530" s="3" t="s">
        <v>24</v>
      </c>
      <c r="R530" s="3" t="s">
        <v>24</v>
      </c>
      <c r="S530" s="5">
        <f>_xlfn.IFS(F530="2C1",I530,F530="3C1",I530*0.666666666667,F530="3C2",I530*0.333333333333,F530="3CX","",F530="4C1",I530*0.5,F530="4C2",I530*0.5,F530="4C3","",F530="4CR","",F530="2CR","",F530="2CO","",F530="4CX","",TRUE,"")</f>
        <v>0.2743055555555556</v>
      </c>
      <c r="T530" s="3" t="s">
        <v>210</v>
      </c>
    </row>
    <row r="531" spans="1:20">
      <c r="A531" s="2">
        <v>46001</v>
      </c>
      <c r="B531" s="3" t="s">
        <v>43</v>
      </c>
      <c r="C531" s="3" t="s">
        <v>40</v>
      </c>
      <c r="D531" s="3" t="s">
        <v>20</v>
      </c>
      <c r="E531" s="3" t="s">
        <v>32</v>
      </c>
      <c r="F531" s="3" t="s">
        <v>51</v>
      </c>
      <c r="G531" s="4">
        <v>0.2458333333333333</v>
      </c>
      <c r="H531" s="4">
        <v>0.9069444444444444</v>
      </c>
      <c r="I531" s="5">
        <v>0.6611111111111111</v>
      </c>
      <c r="J531" s="4"/>
      <c r="K531" s="4"/>
      <c r="L531" s="5">
        <f>IF(J531&gt;0,MOD(K531-J531,1),"")</f>
        <v/>
      </c>
      <c r="M531" s="5">
        <v>0.3541666666666667</v>
      </c>
      <c r="N531" s="5">
        <v>0.3305555555555555</v>
      </c>
      <c r="O531" s="3">
        <v>0</v>
      </c>
      <c r="P531" s="3">
        <v>0</v>
      </c>
      <c r="Q531" s="3" t="s">
        <v>24</v>
      </c>
      <c r="R531" s="3" t="s">
        <v>24</v>
      </c>
      <c r="S531" s="5">
        <f>_xlfn.IFS(F531="2C1",I531,F531="3C1",I531*0.666666666667,F531="3C2",I531*0.333333333333,F531="3CX","",F531="4C1",I531*0.5,F531="4C2",I531*0.5,F531="4C3","",F531="4CR","",F531="2CR","",F531="2CO","",F531="4CX","",TRUE,"")</f>
        <v>0.33055555555555555</v>
      </c>
      <c r="T531" s="3" t="s">
        <v>210</v>
      </c>
    </row>
    <row r="532" spans="1:20">
      <c r="A532" s="2">
        <v>46006</v>
      </c>
      <c r="B532" s="3" t="s">
        <v>186</v>
      </c>
      <c r="C532" s="3" t="s">
        <v>20</v>
      </c>
      <c r="D532" s="3" t="s">
        <v>57</v>
      </c>
      <c r="E532" s="3" t="s">
        <v>28</v>
      </c>
      <c r="F532" s="3" t="s">
        <v>48</v>
      </c>
      <c r="G532" s="4">
        <v>0.5555555555555556</v>
      </c>
      <c r="H532" s="4">
        <v>0.01111111111111111</v>
      </c>
      <c r="I532" s="5">
        <v>0.4555555555555555</v>
      </c>
      <c r="J532" s="4"/>
      <c r="K532" s="4"/>
      <c r="L532" s="5">
        <f>IF(J532&gt;0,MOD(K532-J532,1),"")</f>
        <v/>
      </c>
      <c r="M532" s="5">
        <v>0.3402777777777778</v>
      </c>
      <c r="N532" s="5">
        <v>0.2277777777777778</v>
      </c>
      <c r="O532" s="3">
        <v>0</v>
      </c>
      <c r="P532" s="3">
        <v>0</v>
      </c>
      <c r="Q532" s="3" t="s">
        <v>24</v>
      </c>
      <c r="R532" s="3" t="s">
        <v>24</v>
      </c>
      <c r="S532" s="5">
        <f>_xlfn.IFS(F532="2C1",I532,F532="3C1",I532*0.666666666667,F532="3C2",I532*0.333333333333,F532="3CX","",F532="4C1",I532*0.5,F532="4C2",I532*0.5,F532="4C3","",F532="4CR","",F532="2CR","",F532="2CO","",F532="4CX","",TRUE,"")</f>
        <v>0.22777777777777777</v>
      </c>
      <c r="T532" s="3" t="s">
        <v>211</v>
      </c>
    </row>
    <row r="533" spans="1:20">
      <c r="A533" s="2">
        <v>46008</v>
      </c>
      <c r="B533" s="3" t="s">
        <v>188</v>
      </c>
      <c r="C533" s="3" t="s">
        <v>57</v>
      </c>
      <c r="D533" s="3" t="s">
        <v>20</v>
      </c>
      <c r="E533" s="3" t="s">
        <v>172</v>
      </c>
      <c r="F533" s="3" t="s">
        <v>51</v>
      </c>
      <c r="G533" s="4">
        <v>0.2729166666666666</v>
      </c>
      <c r="H533" s="4">
        <v>0.8340277777777778</v>
      </c>
      <c r="I533" s="5">
        <v>0.5611111111111111</v>
      </c>
      <c r="J533" s="4"/>
      <c r="K533" s="4"/>
      <c r="L533" s="5">
        <f>IF(J533&gt;0,MOD(K533-J533,1),"")</f>
        <v/>
      </c>
      <c r="M533" s="5">
        <v>0.3131944444444444</v>
      </c>
      <c r="N533" s="5">
        <v>0.2805555555555556</v>
      </c>
      <c r="O533" s="3">
        <v>1</v>
      </c>
      <c r="P533" s="3">
        <v>1</v>
      </c>
      <c r="Q533" s="3" t="s">
        <v>24</v>
      </c>
      <c r="R533" s="3" t="s">
        <v>24</v>
      </c>
      <c r="S533" s="5">
        <f>_xlfn.IFS(F533="2C1",I533,F533="3C1",I533*0.666666666667,F533="3C2",I533*0.333333333333,F533="3CX","",F533="4C1",I533*0.5,F533="4C2",I533*0.5,F533="4C3","",F533="4CR","",F533="2CR","",F533="2CO","",F533="4CX","",TRUE,"")</f>
        <v>0.28055555555555556</v>
      </c>
      <c r="T533" s="3" t="s">
        <v>212</v>
      </c>
    </row>
    <row r="534" spans="1:20">
      <c r="A534" s="2">
        <v>46017</v>
      </c>
      <c r="B534" s="3" t="s">
        <v>56</v>
      </c>
      <c r="C534" s="3" t="s">
        <v>20</v>
      </c>
      <c r="D534" s="3" t="s">
        <v>57</v>
      </c>
      <c r="E534" s="3" t="s">
        <v>189</v>
      </c>
      <c r="F534" s="3" t="s">
        <v>51</v>
      </c>
      <c r="G534" s="4">
        <v>0.1805555555555556</v>
      </c>
      <c r="H534" s="4">
        <v>0.6451388888888889</v>
      </c>
      <c r="I534" s="5">
        <v>0.4645833333333333</v>
      </c>
      <c r="J534" s="4"/>
      <c r="K534" s="4"/>
      <c r="L534" s="5">
        <f>IF(J534&gt;0,MOD(K534-J534,1),"")</f>
        <v/>
      </c>
      <c r="M534" s="5">
        <v>0.1243055555555556</v>
      </c>
      <c r="N534" s="5">
        <v>0.2322916666666667</v>
      </c>
      <c r="O534" s="3">
        <v>1</v>
      </c>
      <c r="P534" s="3">
        <v>1</v>
      </c>
      <c r="Q534" s="3" t="s">
        <v>24</v>
      </c>
      <c r="R534" s="3" t="s">
        <v>24</v>
      </c>
      <c r="S534" s="5">
        <f>_xlfn.IFS(F534="2C1",I534,F534="3C1",I534*0.666666666667,F534="3C2",I534*0.333333333333,F534="3CX","",F534="4C1",I534*0.5,F534="4C2",I534*0.5,F534="4C3","",F534="4CR","",F534="2CR","",F534="2CO","",F534="4CX","",TRUE,"")</f>
        <v>0.23229166666666667</v>
      </c>
      <c r="T534" s="3" t="s">
        <v>213</v>
      </c>
    </row>
    <row r="535" spans="1:20">
      <c r="A535" s="2">
        <v>46019</v>
      </c>
      <c r="B535" s="3" t="s">
        <v>60</v>
      </c>
      <c r="C535" s="3" t="s">
        <v>57</v>
      </c>
      <c r="D535" s="3" t="s">
        <v>20</v>
      </c>
      <c r="E535" s="3" t="s">
        <v>50</v>
      </c>
      <c r="F535" s="3" t="s">
        <v>48</v>
      </c>
      <c r="G535" s="4">
        <v>0.7444444444444445</v>
      </c>
      <c r="H535" s="4">
        <v>0.2826388888888889</v>
      </c>
      <c r="I535" s="5">
        <v>0.5381944444444444</v>
      </c>
      <c r="J535" s="4"/>
      <c r="K535" s="4"/>
      <c r="L535" s="5">
        <f>IF(J535&gt;0,MOD(K535-J535,1),"")</f>
        <v/>
      </c>
      <c r="M535" s="5">
        <v>0.1513888888888889</v>
      </c>
      <c r="N535" s="5">
        <v>0.2690972222222222</v>
      </c>
      <c r="O535" s="3">
        <v>0</v>
      </c>
      <c r="P535" s="3">
        <v>0</v>
      </c>
      <c r="Q535" s="3" t="s">
        <v>24</v>
      </c>
      <c r="R535" s="3" t="s">
        <v>24</v>
      </c>
      <c r="S535" s="5">
        <f>_xlfn.IFS(F535="2C1",I535,F535="3C1",I535*0.666666666667,F535="3C2",I535*0.333333333333,F535="3CX","",F535="4C1",I535*0.5,F535="4C2",I535*0.5,F535="4C3","",F535="4CR","",F535="2CR","",F535="2CO","",F535="4CX","",TRUE,"")</f>
        <v>0.2690972222222222</v>
      </c>
      <c r="T535" s="3" t="s">
        <v>214</v>
      </c>
    </row>
    <row r="536" spans="1:20">
      <c r="A536" s="2">
        <v>46024</v>
      </c>
      <c r="B536" s="3" t="s">
        <v>39</v>
      </c>
      <c r="C536" s="3" t="s">
        <v>20</v>
      </c>
      <c r="D536" s="3" t="s">
        <v>40</v>
      </c>
      <c r="E536" s="3" t="s">
        <v>50</v>
      </c>
      <c r="F536" s="3" t="s">
        <v>48</v>
      </c>
      <c r="G536" s="4">
        <v>0.5368055555555555</v>
      </c>
      <c r="H536" s="4">
        <v>0.09166666666666666</v>
      </c>
      <c r="I536" s="5">
        <v>0.5548611111111111</v>
      </c>
      <c r="J536" s="4"/>
      <c r="K536" s="4"/>
      <c r="L536" s="5">
        <f>IF(J536&gt;0,MOD(K536-J536,1),"")</f>
        <v/>
      </c>
      <c r="M536" s="5">
        <v>0.3541666666666667</v>
      </c>
      <c r="N536" s="5">
        <v>0.2774305555555556</v>
      </c>
      <c r="O536" s="3">
        <v>0</v>
      </c>
      <c r="P536" s="3">
        <v>0</v>
      </c>
      <c r="Q536" s="3" t="s">
        <v>24</v>
      </c>
      <c r="R536" s="3" t="s">
        <v>24</v>
      </c>
      <c r="S536" s="5">
        <f>_xlfn.IFS(F536="2C1",I536,F536="3C1",I536*0.666666666667,F536="3C2",I536*0.333333333333,F536="3CX","",F536="4C1",I536*0.5,F536="4C2",I536*0.5,F536="4C3","",F536="4CR","",F536="2CR","",F536="2CO","",F536="4CX","",TRUE,"")</f>
        <v>0.27743055555555557</v>
      </c>
      <c r="T536" s="3" t="s">
        <v>215</v>
      </c>
    </row>
    <row r="537" spans="1:20">
      <c r="A537" s="2">
        <v>46026</v>
      </c>
      <c r="B537" s="3" t="s">
        <v>43</v>
      </c>
      <c r="C537" s="3" t="s">
        <v>40</v>
      </c>
      <c r="D537" s="3" t="s">
        <v>20</v>
      </c>
      <c r="E537" s="3" t="s">
        <v>32</v>
      </c>
      <c r="F537" s="3" t="s">
        <v>51</v>
      </c>
      <c r="G537" s="4">
        <v>0.2104166666666667</v>
      </c>
      <c r="H537" s="4">
        <v>0.8534722222222222</v>
      </c>
      <c r="I537" s="5">
        <v>0.6430555555555556</v>
      </c>
      <c r="J537" s="4"/>
      <c r="K537" s="4"/>
      <c r="L537" s="5">
        <f>IF(J537&gt;0,MOD(K537-J537,1),"")</f>
        <v/>
      </c>
      <c r="M537" s="5">
        <v>0.3326388888888889</v>
      </c>
      <c r="N537" s="5">
        <v>0.3215277777777778</v>
      </c>
      <c r="O537" s="3">
        <v>0</v>
      </c>
      <c r="P537" s="3">
        <v>0</v>
      </c>
      <c r="Q537" s="3" t="s">
        <v>24</v>
      </c>
      <c r="R537" s="3" t="s">
        <v>24</v>
      </c>
      <c r="S537" s="5">
        <f>_xlfn.IFS(F537="2C1",I537,F537="3C1",I537*0.666666666667,F537="3C2",I537*0.333333333333,F537="3CX","",F537="4C1",I537*0.5,F537="4C2",I537*0.5,F537="4C3","",F537="4CR","",F537="2CR","",F537="2CO","",F537="4CX","",TRUE,"")</f>
        <v>0.3215277777777778</v>
      </c>
      <c r="T537" s="3" t="s">
        <v>216</v>
      </c>
    </row>
    <row r="538" spans="1:20">
      <c r="A538" s="2">
        <v>46030</v>
      </c>
      <c r="B538" s="3" t="s">
        <v>164</v>
      </c>
      <c r="C538" s="3" t="s">
        <v>20</v>
      </c>
      <c r="D538" s="3" t="s">
        <v>165</v>
      </c>
      <c r="E538" s="3" t="s">
        <v>44</v>
      </c>
      <c r="F538" s="3" t="s">
        <v>46</v>
      </c>
      <c r="G538" s="4">
        <v>0.3666666666666666</v>
      </c>
      <c r="H538" s="4">
        <v>0.5694444444444444</v>
      </c>
      <c r="I538" s="5">
        <v>0.2027777777777778</v>
      </c>
      <c r="J538" s="4"/>
      <c r="K538" s="4"/>
      <c r="L538" s="5">
        <f>IF(J538&gt;0,MOD(K538-J538,1),"")</f>
        <v/>
      </c>
      <c r="M538" s="5">
        <v>0.04861111111111111</v>
      </c>
      <c r="N538" s="5">
        <v>0.2027777777777778</v>
      </c>
      <c r="O538" s="3">
        <v>1</v>
      </c>
      <c r="P538" s="3">
        <v>1</v>
      </c>
      <c r="Q538" s="3" t="s">
        <v>24</v>
      </c>
      <c r="R538" s="3" t="s">
        <v>24</v>
      </c>
      <c r="S538" s="5">
        <f>_xlfn.IFS(F538="2C1",I538,F538="3C1",I538*0.666666666667,F538="3C2",I538*0.333333333333,F538="3CX","",F538="4C1",I538*0.5,F538="4C2",I538*0.5,F538="4C3","",F538="4CR","",F538="2CR","",F538="2CO","",F538="4CX","",TRUE,"")</f>
        <v>0.20277777777777778</v>
      </c>
      <c r="T538" s="3" t="s">
        <v>217</v>
      </c>
    </row>
    <row r="539" spans="1:20">
      <c r="A539" s="2">
        <v>46032</v>
      </c>
      <c r="B539" s="3" t="s">
        <v>167</v>
      </c>
      <c r="C539" s="3" t="s">
        <v>165</v>
      </c>
      <c r="D539" s="3" t="s">
        <v>20</v>
      </c>
      <c r="E539" s="3" t="s">
        <v>172</v>
      </c>
      <c r="F539" s="3" t="s">
        <v>46</v>
      </c>
      <c r="G539" s="4">
        <v>0.6569444444444444</v>
      </c>
      <c r="H539" s="4">
        <v>0.8326388888888889</v>
      </c>
      <c r="I539" s="5">
        <v>0.1756944444444444</v>
      </c>
      <c r="J539" s="4"/>
      <c r="K539" s="4"/>
      <c r="L539" s="5">
        <f>IF(J539&gt;0,MOD(K539-J539,1),"")</f>
        <v/>
      </c>
      <c r="M539" s="5">
        <v>0.1965277777777778</v>
      </c>
      <c r="N539" s="5">
        <v>0.1756944444444444</v>
      </c>
      <c r="O539" s="3">
        <v>0</v>
      </c>
      <c r="P539" s="3">
        <v>0</v>
      </c>
      <c r="Q539" s="3" t="s">
        <v>24</v>
      </c>
      <c r="R539" s="3" t="s">
        <v>24</v>
      </c>
      <c r="S539" s="5">
        <f>_xlfn.IFS(F539="2C1",I539,F539="3C1",I539*0.666666666667,F539="3C2",I539*0.333333333333,F539="3CX","",F539="4C1",I539*0.5,F539="4C2",I539*0.5,F539="4C3","",F539="4CR","",F539="2CR","",F539="2CO","",F539="4CX","",TRUE,"")</f>
        <v>0.17569444444444443</v>
      </c>
      <c r="T539" s="3" t="s">
        <v>217</v>
      </c>
    </row>
    <row r="540" spans="1:20">
      <c r="A540" s="6" t="s">
        <v>36</v>
      </c>
      <c r="B540" s="6"/>
      <c r="C540" s="6"/>
      <c r="D540" s="6"/>
      <c r="E540" s="6"/>
      <c r="F540" s="6"/>
      <c r="G540" s="6"/>
      <c r="H540" s="6"/>
      <c r="I540" s="7">
        <f>SUM(I530:I539)</f>
        <v>4.805555555555555</v>
      </c>
      <c r="J540" s="8"/>
      <c r="K540" s="8"/>
      <c r="L540" s="7">
        <f>SUM(L530:L539)</f>
        <v>0.0</v>
      </c>
      <c r="M540" s="7">
        <f>SUM(M530:M539)</f>
        <v>2.5694444444444446</v>
      </c>
      <c r="N540" s="7">
        <f>SUM(N530:N539)</f>
        <v>2.591666666666667</v>
      </c>
      <c r="O540" s="8">
        <f>SUM(O530:O539)</f>
        <v>3</v>
      </c>
      <c r="P540" s="8">
        <f>SUM(P530:P539)</f>
        <v>3</v>
      </c>
      <c r="Q540" s="8"/>
      <c r="R540" s="8"/>
      <c r="S540" s="7">
        <f>SUM(S530:S539)</f>
        <v>2.591666666666667</v>
      </c>
      <c r="T540" s="8"/>
    </row>
    <row r="541" spans="1:20">
      <c r="A541" s="6" t="s">
        <v>37</v>
      </c>
      <c r="B541" s="6"/>
      <c r="C541" s="6"/>
      <c r="D541" s="6"/>
      <c r="E541" s="6"/>
      <c r="F541" s="6"/>
      <c r="G541" s="6"/>
      <c r="H541" s="6"/>
      <c r="I541" s="7">
        <v>650.6381944444445</v>
      </c>
      <c r="J541" s="8"/>
      <c r="K541" s="8"/>
      <c r="L541" s="7"/>
      <c r="M541" s="7">
        <v>238.8034722222222</v>
      </c>
      <c r="N541" s="7">
        <v>485.7701388888889</v>
      </c>
      <c r="O541" s="8">
        <v>1806</v>
      </c>
      <c r="P541" s="8">
        <v>1815</v>
      </c>
      <c r="Q541" s="8"/>
      <c r="R541" s="8"/>
      <c r="S541" s="7">
        <v>305.9180555555556</v>
      </c>
      <c r="T541" s="8"/>
    </row>
    <row r="542" spans="1:20">
      <c r="A542" s="6" t="s">
        <v>38</v>
      </c>
      <c r="B542" s="6"/>
      <c r="C542" s="6"/>
      <c r="D542" s="6"/>
      <c r="E542" s="6"/>
      <c r="F542" s="6"/>
      <c r="G542" s="6"/>
      <c r="H542" s="6"/>
      <c r="I542" s="7">
        <v>655.44375</v>
      </c>
      <c r="J542" s="8"/>
      <c r="K542" s="8"/>
      <c r="L542" s="7"/>
      <c r="M542" s="7">
        <v>241.3729166666667</v>
      </c>
      <c r="N542" s="7">
        <v>488.3618055555556</v>
      </c>
      <c r="O542" s="8">
        <v>1809</v>
      </c>
      <c r="P542" s="8">
        <v>1818</v>
      </c>
      <c r="Q542" s="8"/>
      <c r="R542" s="8"/>
      <c r="S542" s="7">
        <v>308.5097222222222</v>
      </c>
      <c r="T542" s="8"/>
    </row>
    <row r="551" spans="1:20">
      <c r="A551" s="1" t="s">
        <v>0</v>
      </c>
      <c r="B551" s="1" t="s">
        <v>1</v>
      </c>
      <c r="C551" s="1" t="s">
        <v>2</v>
      </c>
      <c r="D551" s="1" t="s">
        <v>3</v>
      </c>
      <c r="E551" s="1" t="s">
        <v>4</v>
      </c>
      <c r="F551" s="1" t="s">
        <v>5</v>
      </c>
      <c r="G551" s="1" t="s">
        <v>6</v>
      </c>
      <c r="H551" s="1" t="s">
        <v>7</v>
      </c>
      <c r="I551" s="1" t="s">
        <v>8</v>
      </c>
      <c r="J551" s="1" t="s">
        <v>3</v>
      </c>
      <c r="K551" s="1" t="s">
        <v>9</v>
      </c>
      <c r="L551" s="1" t="s">
        <v>10</v>
      </c>
      <c r="M551" s="1" t="s">
        <v>11</v>
      </c>
      <c r="N551" s="1" t="s">
        <v>12</v>
      </c>
      <c r="O551" s="1" t="s">
        <v>13</v>
      </c>
      <c r="P551" s="1" t="s">
        <v>14</v>
      </c>
      <c r="Q551" s="1" t="s">
        <v>15</v>
      </c>
      <c r="R551" s="1" t="s">
        <v>16</v>
      </c>
      <c r="S551" s="1" t="s">
        <v>17</v>
      </c>
      <c r="T551" s="1" t="s">
        <v>18</v>
      </c>
    </row>
    <row r="552" spans="1:20">
      <c r="A552" s="2">
        <v>46035</v>
      </c>
      <c r="B552" s="3" t="s">
        <v>56</v>
      </c>
      <c r="C552" s="3" t="s">
        <v>20</v>
      </c>
      <c r="D552" s="3" t="s">
        <v>57</v>
      </c>
      <c r="E552" s="3" t="s">
        <v>32</v>
      </c>
      <c r="F552" s="3" t="s">
        <v>48</v>
      </c>
      <c r="G552" s="4">
        <v>0.1805555555555556</v>
      </c>
      <c r="H552" s="4">
        <v>0.6361111111111111</v>
      </c>
      <c r="I552" s="5">
        <v>0.4555555555555555</v>
      </c>
      <c r="J552" s="4"/>
      <c r="K552" s="4"/>
      <c r="L552" s="5">
        <f>IF(J552&gt;0,MOD(K552-J552,1),"")</f>
        <v/>
      </c>
      <c r="M552" s="5">
        <v>0.1152777777777778</v>
      </c>
      <c r="N552" s="5">
        <v>0.2277777777777778</v>
      </c>
      <c r="O552" s="3">
        <v>0</v>
      </c>
      <c r="P552" s="3">
        <v>0</v>
      </c>
      <c r="Q552" s="3" t="s">
        <v>24</v>
      </c>
      <c r="R552" s="3" t="s">
        <v>24</v>
      </c>
      <c r="S552" s="5">
        <f>_xlfn.IFS(F552="2C1",I552,F552="3C1",I552*0.666666666667,F552="3C2",I552*0.333333333333,F552="3CX","",F552="4C1",I552*0.5,F552="4C2",I552*0.5,F552="4C3","",F552="4CR","",F552="2CR","",F552="2CO","",F552="4CX","",TRUE,"")</f>
        <v>0.22777777777777777</v>
      </c>
      <c r="T552" s="3" t="s">
        <v>218</v>
      </c>
    </row>
    <row r="553" spans="1:20">
      <c r="A553" s="2">
        <v>46037</v>
      </c>
      <c r="B553" s="3" t="s">
        <v>60</v>
      </c>
      <c r="C553" s="3" t="s">
        <v>57</v>
      </c>
      <c r="D553" s="3" t="s">
        <v>20</v>
      </c>
      <c r="E553" s="3" t="s">
        <v>219</v>
      </c>
      <c r="F553" s="3" t="s">
        <v>51</v>
      </c>
      <c r="G553" s="4">
        <v>0.7381944444444445</v>
      </c>
      <c r="H553" s="4">
        <v>0.2826388888888889</v>
      </c>
      <c r="I553" s="5">
        <v>0.5444444444444444</v>
      </c>
      <c r="J553" s="4"/>
      <c r="K553" s="4"/>
      <c r="L553" s="5">
        <f>IF(J553&gt;0,MOD(K553-J553,1),"")</f>
        <v/>
      </c>
      <c r="M553" s="5">
        <v>0.1576388888888889</v>
      </c>
      <c r="N553" s="5">
        <v>0.2722222222222222</v>
      </c>
      <c r="O553" s="3">
        <v>0</v>
      </c>
      <c r="P553" s="3">
        <v>0</v>
      </c>
      <c r="Q553" s="3" t="s">
        <v>24</v>
      </c>
      <c r="R553" s="3" t="s">
        <v>24</v>
      </c>
      <c r="S553" s="5">
        <f>_xlfn.IFS(F553="2C1",I553,F553="3C1",I553*0.666666666667,F553="3C2",I553*0.333333333333,F553="3CX","",F553="4C1",I553*0.5,F553="4C2",I553*0.5,F553="4C3","",F553="4CR","",F553="2CR","",F553="2CO","",F553="4CX","",TRUE,"")</f>
        <v>0.2722222222222222</v>
      </c>
      <c r="T553" s="3" t="s">
        <v>220</v>
      </c>
    </row>
    <row r="554" spans="1:20">
      <c r="A554" s="2">
        <v>46040</v>
      </c>
      <c r="B554" s="3" t="s">
        <v>159</v>
      </c>
      <c r="C554" s="3" t="s">
        <v>20</v>
      </c>
      <c r="D554" s="3" t="s">
        <v>160</v>
      </c>
      <c r="E554" s="3" t="s">
        <v>154</v>
      </c>
      <c r="F554" s="3" t="s">
        <v>46</v>
      </c>
      <c r="G554" s="4">
        <v>0.006944444444444444</v>
      </c>
      <c r="H554" s="4">
        <v>0.1680555555555556</v>
      </c>
      <c r="I554" s="5">
        <v>0.1611111111111111</v>
      </c>
      <c r="J554" s="4"/>
      <c r="K554" s="4"/>
      <c r="L554" s="5">
        <f>IF(J554&gt;0,MOD(K554-J554,1),"")</f>
        <v/>
      </c>
      <c r="M554" s="5">
        <v>0</v>
      </c>
      <c r="N554" s="5">
        <v>0.1611111111111111</v>
      </c>
      <c r="O554" s="3">
        <v>1</v>
      </c>
      <c r="P554" s="3">
        <v>1</v>
      </c>
      <c r="Q554" s="3" t="s">
        <v>24</v>
      </c>
      <c r="R554" s="3" t="s">
        <v>24</v>
      </c>
      <c r="S554" s="5">
        <f>_xlfn.IFS(F554="2C1",I554,F554="3C1",I554*0.666666666667,F554="3C2",I554*0.333333333333,F554="3CX","",F554="4C1",I554*0.5,F554="4C2",I554*0.5,F554="4C3","",F554="4CR","",F554="2CR","",F554="2CO","",F554="4CX","",TRUE,"")</f>
        <v>0.16111111111111112</v>
      </c>
      <c r="T554" s="3" t="s">
        <v>221</v>
      </c>
    </row>
    <row r="555" spans="1:20">
      <c r="A555" s="2">
        <v>46040</v>
      </c>
      <c r="B555" s="3" t="s">
        <v>162</v>
      </c>
      <c r="C555" s="3" t="s">
        <v>160</v>
      </c>
      <c r="D555" s="3" t="s">
        <v>20</v>
      </c>
      <c r="E555" s="3" t="s">
        <v>154</v>
      </c>
      <c r="F555" s="3" t="s">
        <v>46</v>
      </c>
      <c r="G555" s="4">
        <v>0.2388888888888889</v>
      </c>
      <c r="H555" s="4">
        <v>0.3756944444444444</v>
      </c>
      <c r="I555" s="5">
        <v>0.1368055555555556</v>
      </c>
      <c r="J555" s="4"/>
      <c r="K555" s="4"/>
      <c r="L555" s="5">
        <f>IF(J555&gt;0,MOD(K555-J555,1),"")</f>
        <v/>
      </c>
      <c r="M555" s="5">
        <v>0</v>
      </c>
      <c r="N555" s="5">
        <v>0.1368055555555556</v>
      </c>
      <c r="O555" s="3">
        <v>0</v>
      </c>
      <c r="P555" s="3">
        <v>0</v>
      </c>
      <c r="Q555" s="3" t="s">
        <v>24</v>
      </c>
      <c r="R555" s="3" t="s">
        <v>24</v>
      </c>
      <c r="S555" s="5">
        <f>_xlfn.IFS(F555="2C1",I555,F555="3C1",I555*0.666666666667,F555="3C2",I555*0.333333333333,F555="3CX","",F555="4C1",I555*0.5,F555="4C2",I555*0.5,F555="4C3","",F555="4CR","",F555="2CR","",F555="2CO","",F555="4CX","",TRUE,"")</f>
        <v>0.13680555555555557</v>
      </c>
      <c r="T555" s="3" t="s">
        <v>221</v>
      </c>
    </row>
    <row r="556" spans="1:20">
      <c r="A556" s="2">
        <v>46044</v>
      </c>
      <c r="B556" s="3" t="s">
        <v>39</v>
      </c>
      <c r="C556" s="3" t="s">
        <v>20</v>
      </c>
      <c r="D556" s="3" t="s">
        <v>40</v>
      </c>
      <c r="E556" s="3" t="s">
        <v>44</v>
      </c>
      <c r="F556" s="3" t="s">
        <v>51</v>
      </c>
      <c r="G556" s="4">
        <v>0.5402777777777777</v>
      </c>
      <c r="H556" s="4">
        <v>0.08263888888888889</v>
      </c>
      <c r="I556" s="5">
        <v>0.5423611111111111</v>
      </c>
      <c r="J556" s="4"/>
      <c r="K556" s="4"/>
      <c r="L556" s="5">
        <f>IF(J556&gt;0,MOD(K556-J556,1),"")</f>
        <v/>
      </c>
      <c r="M556" s="5">
        <v>0.3541666666666667</v>
      </c>
      <c r="N556" s="5">
        <v>0.2711805555555555</v>
      </c>
      <c r="O556" s="3">
        <v>1</v>
      </c>
      <c r="P556" s="3">
        <v>1</v>
      </c>
      <c r="Q556" s="3" t="s">
        <v>24</v>
      </c>
      <c r="R556" s="3" t="s">
        <v>24</v>
      </c>
      <c r="S556" s="5">
        <f>_xlfn.IFS(F556="2C1",I556,F556="3C1",I556*0.666666666667,F556="3C2",I556*0.333333333333,F556="3CX","",F556="4C1",I556*0.5,F556="4C2",I556*0.5,F556="4C3","",F556="4CR","",F556="2CR","",F556="2CO","",F556="4CX","",TRUE,"")</f>
        <v>0.27118055555555554</v>
      </c>
      <c r="T556" s="3" t="s">
        <v>222</v>
      </c>
    </row>
    <row r="557" spans="1:20">
      <c r="A557" s="2">
        <v>46049</v>
      </c>
      <c r="B557" s="3" t="s">
        <v>43</v>
      </c>
      <c r="C557" s="3" t="s">
        <v>40</v>
      </c>
      <c r="D557" s="3" t="s">
        <v>20</v>
      </c>
      <c r="E557" s="3" t="s">
        <v>22</v>
      </c>
      <c r="F557" s="3" t="s">
        <v>51</v>
      </c>
      <c r="G557" s="4">
        <v>0.2347222222222222</v>
      </c>
      <c r="H557" s="4">
        <v>0.8548611111111111</v>
      </c>
      <c r="I557" s="5">
        <v>0.6201388888888889</v>
      </c>
      <c r="J557" s="4"/>
      <c r="K557" s="4"/>
      <c r="L557" s="5">
        <f>IF(J557&gt;0,MOD(K557-J557,1),"")</f>
        <v/>
      </c>
      <c r="M557" s="5">
        <v>0.3340277777777778</v>
      </c>
      <c r="N557" s="5">
        <v>0.3100694444444445</v>
      </c>
      <c r="O557" s="3">
        <v>1</v>
      </c>
      <c r="P557" s="3">
        <v>1</v>
      </c>
      <c r="Q557" s="3" t="s">
        <v>24</v>
      </c>
      <c r="R557" s="3" t="s">
        <v>24</v>
      </c>
      <c r="S557" s="5">
        <f>_xlfn.IFS(F557="2C1",I557,F557="3C1",I557*0.666666666667,F557="3C2",I557*0.333333333333,F557="3CX","",F557="4C1",I557*0.5,F557="4C2",I557*0.5,F557="4C3","",F557="4CR","",F557="2CR","",F557="2CO","",F557="4CX","",TRUE,"")</f>
        <v>0.31006944444444445</v>
      </c>
      <c r="T557" s="3" t="s">
        <v>223</v>
      </c>
    </row>
    <row r="558" spans="1:20">
      <c r="A558" s="2">
        <v>46053</v>
      </c>
      <c r="B558" s="3" t="s">
        <v>224</v>
      </c>
      <c r="C558" s="3" t="s">
        <v>20</v>
      </c>
      <c r="D558" s="3" t="s">
        <v>160</v>
      </c>
      <c r="E558" s="3" t="s">
        <v>22</v>
      </c>
      <c r="F558" s="3" t="s">
        <v>46</v>
      </c>
      <c r="G558" s="4">
        <v>0.025</v>
      </c>
      <c r="H558" s="4">
        <v>0.1965277777777778</v>
      </c>
      <c r="I558" s="5">
        <v>0.1715277777777778</v>
      </c>
      <c r="J558" s="4"/>
      <c r="K558" s="4"/>
      <c r="L558" s="5">
        <f>IF(J558&gt;0,MOD(K558-J558,1),"")</f>
        <v/>
      </c>
      <c r="M558" s="5">
        <v>0</v>
      </c>
      <c r="N558" s="5">
        <v>0.1715277777777778</v>
      </c>
      <c r="O558" s="3">
        <v>1</v>
      </c>
      <c r="P558" s="3">
        <v>1</v>
      </c>
      <c r="Q558" s="3" t="s">
        <v>24</v>
      </c>
      <c r="R558" s="3" t="s">
        <v>24</v>
      </c>
      <c r="S558" s="5">
        <f>_xlfn.IFS(F558="2C1",I558,F558="3C1",I558*0.666666666667,F558="3C2",I558*0.333333333333,F558="3CX","",F558="4C1",I558*0.5,F558="4C2",I558*0.5,F558="4C3","",F558="4CR","",F558="2CR","",F558="2CO","",F558="4CX","",TRUE,"")</f>
        <v>0.17152777777777778</v>
      </c>
      <c r="T558" s="3"/>
    </row>
    <row r="559" spans="1:20">
      <c r="A559" s="2">
        <v>46053</v>
      </c>
      <c r="B559" s="3" t="s">
        <v>225</v>
      </c>
      <c r="C559" s="3" t="s">
        <v>160</v>
      </c>
      <c r="D559" s="3" t="s">
        <v>20</v>
      </c>
      <c r="E559" s="3" t="s">
        <v>22</v>
      </c>
      <c r="F559" s="3" t="s">
        <v>46</v>
      </c>
      <c r="G559" s="4">
        <v>0.2729166666666666</v>
      </c>
      <c r="H559" s="4">
        <v>0.4104166666666667</v>
      </c>
      <c r="I559" s="5">
        <v>0.1375</v>
      </c>
      <c r="J559" s="4"/>
      <c r="K559" s="4"/>
      <c r="L559" s="5">
        <f>IF(J559&gt;0,MOD(K559-J559,1),"")</f>
        <v/>
      </c>
      <c r="M559" s="5">
        <v>0</v>
      </c>
      <c r="N559" s="5">
        <v>0.1375</v>
      </c>
      <c r="O559" s="3">
        <v>0</v>
      </c>
      <c r="P559" s="3">
        <v>0</v>
      </c>
      <c r="Q559" s="3" t="s">
        <v>24</v>
      </c>
      <c r="R559" s="3" t="s">
        <v>24</v>
      </c>
      <c r="S559" s="5">
        <f>_xlfn.IFS(F559="2C1",I559,F559="3C1",I559*0.666666666667,F559="3C2",I559*0.333333333333,F559="3CX","",F559="4C1",I559*0.5,F559="4C2",I559*0.5,F559="4C3","",F559="4CR","",F559="2CR","",F559="2CO","",F559="4CX","",TRUE,"")</f>
        <v>0.1375</v>
      </c>
      <c r="T559" s="3"/>
    </row>
    <row r="560" spans="1:20">
      <c r="A560" s="2">
        <v>46061</v>
      </c>
      <c r="B560" s="3" t="s">
        <v>193</v>
      </c>
      <c r="C560" s="3" t="s">
        <v>20</v>
      </c>
      <c r="D560" s="3" t="s">
        <v>104</v>
      </c>
      <c r="E560" s="3" t="s">
        <v>219</v>
      </c>
      <c r="F560" s="3" t="s">
        <v>58</v>
      </c>
      <c r="G560" s="4">
        <v>0.5784722222222223</v>
      </c>
      <c r="H560" s="4">
        <v>0.8902777777777777</v>
      </c>
      <c r="I560" s="5">
        <v>0.3118055555555556</v>
      </c>
      <c r="J560" s="4"/>
      <c r="K560" s="4"/>
      <c r="L560" s="5">
        <f>IF(J560&gt;0,MOD(K560-J560,1),"")</f>
        <v/>
      </c>
      <c r="M560" s="5">
        <v>0.3173611111111111</v>
      </c>
      <c r="N560" s="5">
        <v>0.1039351851851852</v>
      </c>
      <c r="O560" s="3">
        <v>0</v>
      </c>
      <c r="P560" s="3">
        <v>0</v>
      </c>
      <c r="Q560" s="3" t="s">
        <v>24</v>
      </c>
      <c r="R560" s="3" t="s">
        <v>24</v>
      </c>
      <c r="S560" s="5">
        <f>_xlfn.IFS(F560="2C1",I560,F560="3C1",I560*0.666666666667,F560="3C2",I560*0.333333333333,F560="3CX","",F560="4C1",I560*0.5,F560="4C2",I560*0.5,F560="4C3","",F560="4CR","",F560="2CR","",F560="2CO","",F560="4CX","",TRUE,"")</f>
        <v>0.10393518518518517</v>
      </c>
      <c r="T560" s="3" t="s">
        <v>226</v>
      </c>
    </row>
    <row r="561" spans="1:20">
      <c r="A561" s="2">
        <v>46065</v>
      </c>
      <c r="B561" s="3" t="s">
        <v>195</v>
      </c>
      <c r="C561" s="3" t="s">
        <v>104</v>
      </c>
      <c r="D561" s="3" t="s">
        <v>20</v>
      </c>
      <c r="E561" s="3" t="s">
        <v>44</v>
      </c>
      <c r="F561" s="3" t="s">
        <v>71</v>
      </c>
      <c r="G561" s="4">
        <v>0.009722222222222222</v>
      </c>
      <c r="H561" s="4">
        <v>0.4638888888888889</v>
      </c>
      <c r="I561" s="5">
        <v>0.4541666666666667</v>
      </c>
      <c r="J561" s="4"/>
      <c r="K561" s="4"/>
      <c r="L561" s="5">
        <f>IF(J561&gt;0,MOD(K561-J561,1),"")</f>
        <v/>
      </c>
      <c r="M561" s="5">
        <v>0</v>
      </c>
      <c r="N561" s="5">
        <v>0.3027777777777778</v>
      </c>
      <c r="O561" s="3">
        <v>0</v>
      </c>
      <c r="P561" s="3">
        <v>0</v>
      </c>
      <c r="Q561" s="3" t="s">
        <v>24</v>
      </c>
      <c r="R561" s="3" t="s">
        <v>24</v>
      </c>
      <c r="S561" s="5">
        <f>_xlfn.IFS(F561="2C1",I561,F561="3C1",I561*0.666666666667,F561="3C2",I561*0.333333333333,F561="3CX","",F561="4C1",I561*0.5,F561="4C2",I561*0.5,F561="4C3","",F561="4CR","",F561="2CR","",F561="2CO","",F561="4CX","",TRUE,"")</f>
        <v>0.30277777777777776</v>
      </c>
      <c r="T561" s="3" t="s">
        <v>226</v>
      </c>
    </row>
    <row r="562" spans="1:20">
      <c r="A562" s="6" t="s">
        <v>36</v>
      </c>
      <c r="B562" s="6"/>
      <c r="C562" s="6"/>
      <c r="D562" s="6"/>
      <c r="E562" s="6"/>
      <c r="F562" s="6"/>
      <c r="G562" s="6"/>
      <c r="H562" s="6"/>
      <c r="I562" s="7">
        <f>SUM(I552:I561)</f>
        <v>3.535416666666667</v>
      </c>
      <c r="J562" s="8"/>
      <c r="K562" s="8"/>
      <c r="L562" s="7">
        <f>SUM(L552:L561)</f>
        <v>0.0</v>
      </c>
      <c r="M562" s="7">
        <f>SUM(M552:M561)</f>
        <v>1.2784722222222222</v>
      </c>
      <c r="N562" s="7">
        <f>SUM(N552:N561)</f>
        <v>2.095138888888889</v>
      </c>
      <c r="O562" s="8">
        <f>SUM(O552:O561)</f>
        <v>4</v>
      </c>
      <c r="P562" s="8">
        <f>SUM(P552:P561)</f>
        <v>4</v>
      </c>
      <c r="Q562" s="8"/>
      <c r="R562" s="8"/>
      <c r="S562" s="7">
        <f>SUM(S552:S561)</f>
        <v>2.095138888888889</v>
      </c>
      <c r="T562" s="8"/>
    </row>
    <row r="563" spans="1:20">
      <c r="A563" s="6" t="s">
        <v>37</v>
      </c>
      <c r="B563" s="6"/>
      <c r="C563" s="6"/>
      <c r="D563" s="6"/>
      <c r="E563" s="6"/>
      <c r="F563" s="6"/>
      <c r="G563" s="6"/>
      <c r="H563" s="6"/>
      <c r="I563" s="7">
        <v>655.44375</v>
      </c>
      <c r="J563" s="8"/>
      <c r="K563" s="8"/>
      <c r="L563" s="7"/>
      <c r="M563" s="7">
        <v>241.3729166666667</v>
      </c>
      <c r="N563" s="7">
        <v>488.3618055555556</v>
      </c>
      <c r="O563" s="8">
        <v>1809</v>
      </c>
      <c r="P563" s="8">
        <v>1818</v>
      </c>
      <c r="Q563" s="8"/>
      <c r="R563" s="8"/>
      <c r="S563" s="7">
        <v>308.5097222222222</v>
      </c>
      <c r="T563" s="8"/>
    </row>
    <row r="564" spans="1:20">
      <c r="A564" s="6" t="s">
        <v>38</v>
      </c>
      <c r="B564" s="6"/>
      <c r="C564" s="6"/>
      <c r="D564" s="6"/>
      <c r="E564" s="6"/>
      <c r="F564" s="6"/>
      <c r="G564" s="6"/>
      <c r="H564" s="6"/>
      <c r="I564" s="7">
        <v>658.9791666666666</v>
      </c>
      <c r="J564" s="8"/>
      <c r="K564" s="8"/>
      <c r="L564" s="7"/>
      <c r="M564" s="7">
        <v>242.6513888888889</v>
      </c>
      <c r="N564" s="7">
        <v>490.4569444444444</v>
      </c>
      <c r="O564" s="8">
        <v>1813</v>
      </c>
      <c r="P564" s="8">
        <v>1822</v>
      </c>
      <c r="Q564" s="8"/>
      <c r="R564" s="8"/>
      <c r="S564" s="7">
        <v>310.6048611111111</v>
      </c>
      <c r="T564" s="8"/>
    </row>
    <row r="573" spans="1:20">
      <c r="A573" s="1" t="s">
        <v>0</v>
      </c>
      <c r="B573" s="1" t="s">
        <v>1</v>
      </c>
      <c r="C573" s="1" t="s">
        <v>2</v>
      </c>
      <c r="D573" s="1" t="s">
        <v>3</v>
      </c>
      <c r="E573" s="1" t="s">
        <v>4</v>
      </c>
      <c r="F573" s="1" t="s">
        <v>5</v>
      </c>
      <c r="G573" s="1" t="s">
        <v>6</v>
      </c>
      <c r="H573" s="1" t="s">
        <v>7</v>
      </c>
      <c r="I573" s="1" t="s">
        <v>8</v>
      </c>
      <c r="J573" s="1" t="s">
        <v>3</v>
      </c>
      <c r="K573" s="1" t="s">
        <v>9</v>
      </c>
      <c r="L573" s="1" t="s">
        <v>10</v>
      </c>
      <c r="M573" s="1" t="s">
        <v>11</v>
      </c>
      <c r="N573" s="1" t="s">
        <v>12</v>
      </c>
      <c r="O573" s="1" t="s">
        <v>13</v>
      </c>
      <c r="P573" s="1" t="s">
        <v>14</v>
      </c>
      <c r="Q573" s="1" t="s">
        <v>15</v>
      </c>
      <c r="R573" s="1" t="s">
        <v>16</v>
      </c>
      <c r="S573" s="1" t="s">
        <v>17</v>
      </c>
      <c r="T573" s="1" t="s">
        <v>18</v>
      </c>
    </row>
    <row r="574" spans="1:20">
      <c r="A574" s="2">
        <v>46068</v>
      </c>
      <c r="B574" s="3" t="s">
        <v>121</v>
      </c>
      <c r="C574" s="3" t="s">
        <v>20</v>
      </c>
      <c r="D574" s="3" t="s">
        <v>122</v>
      </c>
      <c r="E574" s="3" t="s">
        <v>50</v>
      </c>
      <c r="F574" s="3" t="s">
        <v>48</v>
      </c>
      <c r="G574" s="4">
        <v>0.4069444444444444</v>
      </c>
      <c r="H574" s="4">
        <v>0.8722222222222222</v>
      </c>
      <c r="I574" s="5">
        <v>0.4652777777777778</v>
      </c>
      <c r="J574" s="4"/>
      <c r="K574" s="4"/>
      <c r="L574" s="5">
        <f>IF(J574&gt;0,MOD(K574-J574,1),"")</f>
        <v/>
      </c>
      <c r="M574" s="5">
        <v>0.3513888888888889</v>
      </c>
      <c r="N574" s="5">
        <v>0.2326388888888889</v>
      </c>
      <c r="O574" s="3">
        <v>0</v>
      </c>
      <c r="P574" s="3">
        <v>0</v>
      </c>
      <c r="Q574" s="3" t="s">
        <v>24</v>
      </c>
      <c r="R574" s="3" t="s">
        <v>24</v>
      </c>
      <c r="S574" s="5">
        <f>_xlfn.IFS(F574="2C1",I574,F574="3C1",I574*0.666666666667,F574="3C2",I574*0.333333333333,F574="3CX","",F574="4C1",I574*0.5,F574="4C2",I574*0.5,F574="4C3","",F574="4CR","",F574="2CR","",F574="2CO","",F574="4CX","",TRUE,"")</f>
        <v>0.2326388888888889</v>
      </c>
      <c r="T574" s="3" t="s">
        <v>227</v>
      </c>
    </row>
    <row r="575" spans="1:20">
      <c r="A575" s="2">
        <v>46069</v>
      </c>
      <c r="B575" s="3" t="s">
        <v>124</v>
      </c>
      <c r="C575" s="3" t="s">
        <v>122</v>
      </c>
      <c r="D575" s="3" t="s">
        <v>20</v>
      </c>
      <c r="E575" s="3" t="s">
        <v>32</v>
      </c>
      <c r="F575" s="3" t="s">
        <v>51</v>
      </c>
      <c r="G575" s="4">
        <v>0.9395833333333333</v>
      </c>
      <c r="H575" s="4">
        <v>0.4895833333333333</v>
      </c>
      <c r="I575" s="5">
        <v>0.55</v>
      </c>
      <c r="J575" s="4"/>
      <c r="K575" s="4"/>
      <c r="L575" s="5">
        <f>IF(J575&gt;0,MOD(K575-J575,1),"")</f>
        <v/>
      </c>
      <c r="M575" s="5">
        <v>0</v>
      </c>
      <c r="N575" s="5">
        <v>0.275</v>
      </c>
      <c r="O575" s="3">
        <v>0</v>
      </c>
      <c r="P575" s="3">
        <v>0</v>
      </c>
      <c r="Q575" s="3" t="s">
        <v>24</v>
      </c>
      <c r="R575" s="3" t="s">
        <v>24</v>
      </c>
      <c r="S575" s="5">
        <f>_xlfn.IFS(F575="2C1",I575,F575="3C1",I575*0.666666666667,F575="3C2",I575*0.333333333333,F575="3CX","",F575="4C1",I575*0.5,F575="4C2",I575*0.5,F575="4C3","",F575="4CR","",F575="2CR","",F575="2CO","",F575="4CX","",TRUE,"")</f>
        <v>0.275</v>
      </c>
      <c r="T575" s="3" t="s">
        <v>227</v>
      </c>
    </row>
    <row r="576" spans="1:20">
      <c r="A576" s="2">
        <v>46073</v>
      </c>
      <c r="B576" s="3" t="s">
        <v>39</v>
      </c>
      <c r="C576" s="3" t="s">
        <v>20</v>
      </c>
      <c r="D576" s="3" t="s">
        <v>40</v>
      </c>
      <c r="E576" s="3" t="s">
        <v>44</v>
      </c>
      <c r="F576" s="3" t="s">
        <v>48</v>
      </c>
      <c r="G576" s="4">
        <v>0.5395833333333333</v>
      </c>
      <c r="H576" s="4">
        <v>0.1131944444444444</v>
      </c>
      <c r="I576" s="5">
        <v>0.5736111111111111</v>
      </c>
      <c r="J576" s="4"/>
      <c r="K576" s="4"/>
      <c r="L576" s="5">
        <f>IF(J576&gt;0,MOD(K576-J576,1),"")</f>
        <v/>
      </c>
      <c r="M576" s="5">
        <v>0.3541666666666667</v>
      </c>
      <c r="N576" s="5">
        <v>0.2868055555555555</v>
      </c>
      <c r="O576" s="3">
        <v>0</v>
      </c>
      <c r="P576" s="3">
        <v>0</v>
      </c>
      <c r="Q576" s="3" t="s">
        <v>24</v>
      </c>
      <c r="R576" s="3" t="s">
        <v>24</v>
      </c>
      <c r="S576" s="5">
        <f>_xlfn.IFS(F576="2C1",I576,F576="3C1",I576*0.666666666667,F576="3C2",I576*0.333333333333,F576="3CX","",F576="4C1",I576*0.5,F576="4C2",I576*0.5,F576="4C3","",F576="4CR","",F576="2CR","",F576="2CO","",F576="4CX","",TRUE,"")</f>
        <v>0.28680555555555554</v>
      </c>
      <c r="T576" s="3" t="s">
        <v>228</v>
      </c>
    </row>
    <row r="577" spans="1:20">
      <c r="A577" s="2">
        <v>46079</v>
      </c>
      <c r="B577" s="3" t="s">
        <v>43</v>
      </c>
      <c r="C577" s="3" t="s">
        <v>40</v>
      </c>
      <c r="D577" s="3" t="s">
        <v>20</v>
      </c>
      <c r="E577" s="3" t="s">
        <v>22</v>
      </c>
      <c r="F577" s="3" t="s">
        <v>51</v>
      </c>
      <c r="G577" s="4">
        <v>0.2166666666666667</v>
      </c>
      <c r="H577" s="4">
        <v>0.8513888888888889</v>
      </c>
      <c r="I577" s="5">
        <v>0.6347222222222222</v>
      </c>
      <c r="J577" s="4"/>
      <c r="K577" s="4"/>
      <c r="L577" s="5">
        <f>IF(J577&gt;0,MOD(K577-J577,1),"")</f>
        <v/>
      </c>
      <c r="M577" s="5">
        <v>0.3305555555555555</v>
      </c>
      <c r="N577" s="5">
        <v>0.3173611111111111</v>
      </c>
      <c r="O577" s="3">
        <v>1</v>
      </c>
      <c r="P577" s="3">
        <v>1</v>
      </c>
      <c r="Q577" s="3" t="s">
        <v>24</v>
      </c>
      <c r="R577" s="3" t="s">
        <v>24</v>
      </c>
      <c r="S577" s="5">
        <f>_xlfn.IFS(F577="2C1",I577,F577="3C1",I577*0.666666666667,F577="3C2",I577*0.333333333333,F577="3CX","",F577="4C1",I577*0.5,F577="4C2",I577*0.5,F577="4C3","",F577="4CR","",F577="2CR","",F577="2CO","",F577="4CX","",TRUE,"")</f>
        <v>0.3173611111111111</v>
      </c>
      <c r="T577" s="3" t="s">
        <v>229</v>
      </c>
    </row>
    <row r="578" spans="1:20">
      <c r="A578" s="2">
        <v>46084</v>
      </c>
      <c r="B578" s="3" t="s">
        <v>90</v>
      </c>
      <c r="C578" s="3" t="s">
        <v>20</v>
      </c>
      <c r="D578" s="3" t="s">
        <v>91</v>
      </c>
      <c r="E578" s="3" t="s">
        <v>219</v>
      </c>
      <c r="F578" s="3" t="s">
        <v>46</v>
      </c>
      <c r="G578" s="4">
        <v>0.3493055555555555</v>
      </c>
      <c r="H578" s="4">
        <v>0.5923611111111111</v>
      </c>
      <c r="I578" s="5">
        <v>0.2430555555555556</v>
      </c>
      <c r="J578" s="4"/>
      <c r="K578" s="4"/>
      <c r="L578" s="5">
        <f>IF(J578&gt;0,MOD(K578-J578,1),"")</f>
        <v/>
      </c>
      <c r="M578" s="5">
        <v>0.07152777777777777</v>
      </c>
      <c r="N578" s="5">
        <v>0.2430555555555556</v>
      </c>
      <c r="O578" s="3">
        <v>1</v>
      </c>
      <c r="P578" s="3">
        <v>1</v>
      </c>
      <c r="Q578" s="3" t="s">
        <v>24</v>
      </c>
      <c r="R578" s="3" t="s">
        <v>24</v>
      </c>
      <c r="S578" s="5">
        <f>_xlfn.IFS(F578="2C1",I578,F578="3C1",I578*0.666666666667,F578="3C2",I578*0.333333333333,F578="3CX","",F578="4C1",I578*0.5,F578="4C2",I578*0.5,F578="4C3","",F578="4CR","",F578="2CR","",F578="2CO","",F578="4CX","",TRUE,"")</f>
        <v>0.24305555555555555</v>
      </c>
      <c r="T578" s="3"/>
    </row>
    <row r="579" spans="1:20">
      <c r="A579" s="2">
        <v>46085</v>
      </c>
      <c r="B579" s="3" t="s">
        <v>93</v>
      </c>
      <c r="C579" s="3" t="s">
        <v>91</v>
      </c>
      <c r="D579" s="3" t="s">
        <v>20</v>
      </c>
      <c r="E579" s="3" t="s">
        <v>219</v>
      </c>
      <c r="F579" s="3" t="s">
        <v>46</v>
      </c>
      <c r="G579" s="4">
        <v>0.66875</v>
      </c>
      <c r="H579" s="4">
        <v>0.8736111111111111</v>
      </c>
      <c r="I579" s="5">
        <v>0.2048611111111111</v>
      </c>
      <c r="J579" s="4"/>
      <c r="K579" s="4"/>
      <c r="L579" s="5">
        <f>IF(J579&gt;0,MOD(K579-J579,1),"")</f>
        <v/>
      </c>
      <c r="M579" s="5">
        <v>0.2256944444444444</v>
      </c>
      <c r="N579" s="5">
        <v>0.2048611111111111</v>
      </c>
      <c r="O579" s="3">
        <v>0</v>
      </c>
      <c r="P579" s="3">
        <v>0</v>
      </c>
      <c r="Q579" s="3" t="s">
        <v>24</v>
      </c>
      <c r="R579" s="3" t="s">
        <v>24</v>
      </c>
      <c r="S579" s="5">
        <f>_xlfn.IFS(F579="2C1",I579,F579="3C1",I579*0.666666666667,F579="3C2",I579*0.333333333333,F579="3CX","",F579="4C1",I579*0.5,F579="4C2",I579*0.5,F579="4C3","",F579="4CR","",F579="2CR","",F579="2CO","",F579="4CX","",TRUE,"")</f>
        <v>0.2048611111111111</v>
      </c>
      <c r="T579" s="3" t="s">
        <v>230</v>
      </c>
    </row>
    <row r="580" spans="1:20">
      <c r="A580" s="2">
        <v>46091</v>
      </c>
      <c r="B580" s="3" t="s">
        <v>39</v>
      </c>
      <c r="C580" s="3" t="s">
        <v>20</v>
      </c>
      <c r="D580" s="3" t="s">
        <v>40</v>
      </c>
      <c r="E580" s="3" t="s">
        <v>50</v>
      </c>
      <c r="F580" s="3" t="s">
        <v>51</v>
      </c>
      <c r="G580" s="4">
        <v>0.5340277777777778</v>
      </c>
      <c r="H580" s="4">
        <v>0.09375</v>
      </c>
      <c r="I580" s="5">
        <v>0.5597222222222222</v>
      </c>
      <c r="J580" s="4"/>
      <c r="K580" s="4"/>
      <c r="L580" s="5">
        <f>IF(J580&gt;0,MOD(K580-J580,1),"")</f>
        <v/>
      </c>
      <c r="M580" s="5">
        <v>0.3541666666666667</v>
      </c>
      <c r="N580" s="5">
        <v>0.2798611111111111</v>
      </c>
      <c r="O580" s="3">
        <v>1</v>
      </c>
      <c r="P580" s="3">
        <v>1</v>
      </c>
      <c r="Q580" s="3" t="s">
        <v>24</v>
      </c>
      <c r="R580" s="3" t="s">
        <v>24</v>
      </c>
      <c r="S580" s="5">
        <f>_xlfn.IFS(F580="2C1",I580,F580="3C1",I580*0.666666666667,F580="3C2",I580*0.333333333333,F580="3CX","",F580="4C1",I580*0.5,F580="4C2",I580*0.5,F580="4C3","",F580="4CR","",F580="2CR","",F580="2CO","",F580="4CX","",TRUE,"")</f>
        <v>0.2798611111111111</v>
      </c>
      <c r="T580" s="3" t="s">
        <v>231</v>
      </c>
    </row>
    <row r="581" spans="1:20">
      <c r="A581" s="2">
        <v>46094</v>
      </c>
      <c r="B581" s="3" t="s">
        <v>43</v>
      </c>
      <c r="C581" s="3" t="s">
        <v>40</v>
      </c>
      <c r="D581" s="3" t="s">
        <v>20</v>
      </c>
      <c r="E581" s="3" t="s">
        <v>50</v>
      </c>
      <c r="F581" s="3" t="s">
        <v>48</v>
      </c>
      <c r="G581" s="4">
        <v>0.2069444444444444</v>
      </c>
      <c r="H581" s="4">
        <v>0.8125</v>
      </c>
      <c r="I581" s="5">
        <v>0.6055555555555555</v>
      </c>
      <c r="J581" s="4"/>
      <c r="K581" s="4"/>
      <c r="L581" s="5">
        <f>IF(J581&gt;0,MOD(K581-J581,1),"")</f>
        <v/>
      </c>
      <c r="M581" s="5">
        <v>0.2916666666666667</v>
      </c>
      <c r="N581" s="5">
        <v>0.3027777777777778</v>
      </c>
      <c r="O581" s="3">
        <v>0</v>
      </c>
      <c r="P581" s="3">
        <v>0</v>
      </c>
      <c r="Q581" s="3" t="s">
        <v>24</v>
      </c>
      <c r="R581" s="3" t="s">
        <v>24</v>
      </c>
      <c r="S581" s="5">
        <f>_xlfn.IFS(F581="2C1",I581,F581="3C1",I581*0.666666666667,F581="3C2",I581*0.333333333333,F581="3CX","",F581="4C1",I581*0.5,F581="4C2",I581*0.5,F581="4C3","",F581="4CR","",F581="2CR","",F581="2CO","",F581="4CX","",TRUE,"")</f>
        <v>0.30277777777777776</v>
      </c>
      <c r="T581" s="3" t="s">
        <v>231</v>
      </c>
    </row>
    <row r="582" spans="1:20">
      <c r="A582" s="2">
        <v>46097</v>
      </c>
      <c r="B582" s="3" t="s">
        <v>56</v>
      </c>
      <c r="C582" s="3" t="s">
        <v>20</v>
      </c>
      <c r="D582" s="3" t="s">
        <v>57</v>
      </c>
      <c r="E582" s="3" t="s">
        <v>154</v>
      </c>
      <c r="F582" s="3" t="s">
        <v>48</v>
      </c>
      <c r="G582" s="4">
        <v>0.1875</v>
      </c>
      <c r="H582" s="4">
        <v>0.6534722222222222</v>
      </c>
      <c r="I582" s="5">
        <v>0.4659722222222222</v>
      </c>
      <c r="J582" s="4"/>
      <c r="K582" s="4"/>
      <c r="L582" s="5">
        <f>IF(J582&gt;0,MOD(K582-J582,1),"")</f>
        <v/>
      </c>
      <c r="M582" s="5">
        <v>0.1326388888888889</v>
      </c>
      <c r="N582" s="5">
        <v>0.2329861111111111</v>
      </c>
      <c r="O582" s="3">
        <v>0</v>
      </c>
      <c r="P582" s="3">
        <v>0</v>
      </c>
      <c r="Q582" s="3" t="s">
        <v>24</v>
      </c>
      <c r="R582" s="3" t="s">
        <v>24</v>
      </c>
      <c r="S582" s="5">
        <f>_xlfn.IFS(F582="2C1",I582,F582="3C1",I582*0.666666666667,F582="3C2",I582*0.333333333333,F582="3CX","",F582="4C1",I582*0.5,F582="4C2",I582*0.5,F582="4C3","",F582="4CR","",F582="2CR","",F582="2CO","",F582="4CX","",TRUE,"")</f>
        <v>0.23298611111111112</v>
      </c>
      <c r="T582" s="3" t="s">
        <v>232</v>
      </c>
    </row>
    <row r="583" spans="1:20">
      <c r="A583" s="2">
        <v>46100</v>
      </c>
      <c r="B583" s="3" t="s">
        <v>60</v>
      </c>
      <c r="C583" s="3" t="s">
        <v>57</v>
      </c>
      <c r="D583" s="3" t="s">
        <v>20</v>
      </c>
      <c r="E583" s="3" t="s">
        <v>32</v>
      </c>
      <c r="F583" s="3" t="s">
        <v>51</v>
      </c>
      <c r="G583" s="4">
        <v>0.7368055555555556</v>
      </c>
      <c r="H583" s="4">
        <v>0.2944444444444445</v>
      </c>
      <c r="I583" s="5">
        <v>0.5576388888888889</v>
      </c>
      <c r="J583" s="4"/>
      <c r="K583" s="4"/>
      <c r="L583" s="5">
        <f>IF(J583&gt;0,MOD(K583-J583,1),"")</f>
        <v/>
      </c>
      <c r="M583" s="5">
        <v>0.1590277777777778</v>
      </c>
      <c r="N583" s="5">
        <v>0.2788194444444445</v>
      </c>
      <c r="O583" s="3">
        <v>0</v>
      </c>
      <c r="P583" s="3">
        <v>0</v>
      </c>
      <c r="Q583" s="3" t="s">
        <v>24</v>
      </c>
      <c r="R583" s="3" t="s">
        <v>24</v>
      </c>
      <c r="S583" s="5">
        <f>_xlfn.IFS(F583="2C1",I583,F583="3C1",I583*0.666666666667,F583="3C2",I583*0.333333333333,F583="3CX","",F583="4C1",I583*0.5,F583="4C2",I583*0.5,F583="4C3","",F583="4CR","",F583="2CR","",F583="2CO","",F583="4CX","",TRUE,"")</f>
        <v>0.27881944444444445</v>
      </c>
      <c r="T583" s="3" t="s">
        <v>233</v>
      </c>
    </row>
    <row r="584" spans="1:20">
      <c r="A584" s="6" t="s">
        <v>36</v>
      </c>
      <c r="B584" s="6"/>
      <c r="C584" s="6"/>
      <c r="D584" s="6"/>
      <c r="E584" s="6"/>
      <c r="F584" s="6"/>
      <c r="G584" s="6"/>
      <c r="H584" s="6"/>
      <c r="I584" s="7">
        <f>SUM(I574:I583)</f>
        <v>4.860416666666667</v>
      </c>
      <c r="J584" s="8"/>
      <c r="K584" s="8"/>
      <c r="L584" s="7">
        <f>SUM(L574:L583)</f>
        <v>0.0</v>
      </c>
      <c r="M584" s="7">
        <f>SUM(M574:M583)</f>
        <v>2.2708333333333335</v>
      </c>
      <c r="N584" s="7">
        <f>SUM(N574:N583)</f>
        <v>2.654166666666667</v>
      </c>
      <c r="O584" s="8">
        <f>SUM(O574:O583)</f>
        <v>3</v>
      </c>
      <c r="P584" s="8">
        <f>SUM(P574:P583)</f>
        <v>3</v>
      </c>
      <c r="Q584" s="8"/>
      <c r="R584" s="8"/>
      <c r="S584" s="7">
        <f>SUM(S574:S583)</f>
        <v>2.654166666666667</v>
      </c>
      <c r="T584" s="8"/>
    </row>
    <row r="585" spans="1:20">
      <c r="A585" s="6" t="s">
        <v>37</v>
      </c>
      <c r="B585" s="6"/>
      <c r="C585" s="6"/>
      <c r="D585" s="6"/>
      <c r="E585" s="6"/>
      <c r="F585" s="6"/>
      <c r="G585" s="6"/>
      <c r="H585" s="6"/>
      <c r="I585" s="7">
        <v>658.9791666666666</v>
      </c>
      <c r="J585" s="8"/>
      <c r="K585" s="8"/>
      <c r="L585" s="7"/>
      <c r="M585" s="7">
        <v>242.6513888888889</v>
      </c>
      <c r="N585" s="7">
        <v>490.4569444444444</v>
      </c>
      <c r="O585" s="8">
        <v>1813</v>
      </c>
      <c r="P585" s="8">
        <v>1822</v>
      </c>
      <c r="Q585" s="8"/>
      <c r="R585" s="8"/>
      <c r="S585" s="7">
        <v>310.6048611111111</v>
      </c>
      <c r="T585" s="8"/>
    </row>
    <row r="586" spans="1:20">
      <c r="A586" s="6" t="s">
        <v>38</v>
      </c>
      <c r="B586" s="6"/>
      <c r="C586" s="6"/>
      <c r="D586" s="6"/>
      <c r="E586" s="6"/>
      <c r="F586" s="6"/>
      <c r="G586" s="6"/>
      <c r="H586" s="6"/>
      <c r="I586" s="7">
        <v>663.8395833333333</v>
      </c>
      <c r="J586" s="8"/>
      <c r="K586" s="8"/>
      <c r="L586" s="7"/>
      <c r="M586" s="7">
        <v>244.9222222222222</v>
      </c>
      <c r="N586" s="7">
        <v>493.1111111111111</v>
      </c>
      <c r="O586" s="8">
        <v>1816</v>
      </c>
      <c r="P586" s="8">
        <v>1825</v>
      </c>
      <c r="Q586" s="8"/>
      <c r="R586" s="8"/>
      <c r="S586" s="7">
        <v>313.2590277777778</v>
      </c>
      <c r="T586" s="8"/>
    </row>
    <row r="595" spans="1:20">
      <c r="A595" s="1" t="s">
        <v>0</v>
      </c>
      <c r="B595" s="1" t="s">
        <v>1</v>
      </c>
      <c r="C595" s="1" t="s">
        <v>2</v>
      </c>
      <c r="D595" s="1" t="s">
        <v>3</v>
      </c>
      <c r="E595" s="1" t="s">
        <v>4</v>
      </c>
      <c r="F595" s="1" t="s">
        <v>5</v>
      </c>
      <c r="G595" s="1" t="s">
        <v>6</v>
      </c>
      <c r="H595" s="1" t="s">
        <v>7</v>
      </c>
      <c r="I595" s="1" t="s">
        <v>8</v>
      </c>
      <c r="J595" s="1" t="s">
        <v>3</v>
      </c>
      <c r="K595" s="1" t="s">
        <v>9</v>
      </c>
      <c r="L595" s="1" t="s">
        <v>10</v>
      </c>
      <c r="M595" s="1" t="s">
        <v>11</v>
      </c>
      <c r="N595" s="1" t="s">
        <v>12</v>
      </c>
      <c r="O595" s="1" t="s">
        <v>13</v>
      </c>
      <c r="P595" s="1" t="s">
        <v>14</v>
      </c>
      <c r="Q595" s="1" t="s">
        <v>15</v>
      </c>
      <c r="R595" s="1" t="s">
        <v>16</v>
      </c>
      <c r="S595" s="1" t="s">
        <v>17</v>
      </c>
      <c r="T595" s="1" t="s">
        <v>18</v>
      </c>
    </row>
    <row r="596" spans="1:20">
      <c r="A596" s="2">
        <v>46106</v>
      </c>
      <c r="B596" s="3" t="s">
        <v>90</v>
      </c>
      <c r="C596" s="3" t="s">
        <v>20</v>
      </c>
      <c r="D596" s="3" t="s">
        <v>91</v>
      </c>
      <c r="E596" s="3" t="s">
        <v>172</v>
      </c>
      <c r="F596" s="3" t="s">
        <v>46</v>
      </c>
      <c r="G596" s="4">
        <v>0.3708333333333333</v>
      </c>
      <c r="H596" s="4">
        <v>0.6097222222222223</v>
      </c>
      <c r="I596" s="5">
        <v>0.2388888888888889</v>
      </c>
      <c r="J596" s="4"/>
      <c r="K596" s="4"/>
      <c r="L596" s="5">
        <f>IF(J596&gt;0,MOD(K596-J596,1),"")</f>
        <v/>
      </c>
      <c r="M596" s="5">
        <v>0.08888888888888889</v>
      </c>
      <c r="N596" s="5">
        <v>0.2388888888888889</v>
      </c>
      <c r="O596" s="3">
        <v>1</v>
      </c>
      <c r="P596" s="3">
        <v>1</v>
      </c>
      <c r="Q596" s="3" t="s">
        <v>24</v>
      </c>
      <c r="R596" s="3" t="s">
        <v>24</v>
      </c>
      <c r="S596" s="5">
        <f>_xlfn.IFS(F596="2C1",I596,F596="3C1",I596*0.666666666667,F596="3C2",I596*0.333333333333,F596="3CX","",F596="4C1",I596*0.5,F596="4C2",I596*0.5,F596="4C3","",F596="4CR","",F596="2CR","",F596="2CO","",F596="4CX","",TRUE,"")</f>
        <v>0.2388888888888889</v>
      </c>
      <c r="T596" s="3" t="s">
        <v>234</v>
      </c>
    </row>
    <row r="597" spans="1:20">
      <c r="A597" s="2">
        <v>46107</v>
      </c>
      <c r="B597" s="3" t="s">
        <v>93</v>
      </c>
      <c r="C597" s="3" t="s">
        <v>91</v>
      </c>
      <c r="D597" s="3" t="s">
        <v>20</v>
      </c>
      <c r="E597" s="3" t="s">
        <v>189</v>
      </c>
      <c r="F597" s="3" t="s">
        <v>46</v>
      </c>
      <c r="G597" s="4">
        <v>0.6777777777777778</v>
      </c>
      <c r="H597" s="4">
        <v>0.8881944444444444</v>
      </c>
      <c r="I597" s="5">
        <v>0.2104166666666667</v>
      </c>
      <c r="J597" s="4"/>
      <c r="K597" s="4"/>
      <c r="L597" s="5">
        <f>IF(J597&gt;0,MOD(K597-J597,1),"")</f>
        <v/>
      </c>
      <c r="M597" s="5">
        <v>0.2180555555555556</v>
      </c>
      <c r="N597" s="5">
        <v>0.2104166666666667</v>
      </c>
      <c r="O597" s="3">
        <v>1</v>
      </c>
      <c r="P597" s="3">
        <v>0</v>
      </c>
      <c r="Q597" s="3" t="s">
        <v>24</v>
      </c>
      <c r="R597" s="3" t="s">
        <v>24</v>
      </c>
      <c r="S597" s="5">
        <f>_xlfn.IFS(F597="2C1",I597,F597="3C1",I597*0.666666666667,F597="3C2",I597*0.333333333333,F597="3CX","",F597="4C1",I597*0.5,F597="4C2",I597*0.5,F597="4C3","",F597="4CR","",F597="2CR","",F597="2CO","",F597="4CX","",TRUE,"")</f>
        <v>0.21041666666666667</v>
      </c>
      <c r="T597" s="3" t="s">
        <v>234</v>
      </c>
    </row>
    <row r="598" spans="1:20">
      <c r="A598" s="2">
        <v>46113</v>
      </c>
      <c r="B598" s="3" t="s">
        <v>193</v>
      </c>
      <c r="C598" s="3" t="s">
        <v>20</v>
      </c>
      <c r="D598" s="3" t="s">
        <v>104</v>
      </c>
      <c r="E598" s="3" t="s">
        <v>28</v>
      </c>
      <c r="F598" s="3" t="s">
        <v>58</v>
      </c>
      <c r="G598" s="4">
        <v>0.5590277777777778</v>
      </c>
      <c r="H598" s="4">
        <v>0.9069444444444444</v>
      </c>
      <c r="I598" s="5">
        <v>0.3479166666666667</v>
      </c>
      <c r="J598" s="4"/>
      <c r="K598" s="4"/>
      <c r="L598" s="5">
        <f>IF(J598&gt;0,MOD(K598-J598,1),"")</f>
        <v/>
      </c>
      <c r="M598" s="5">
        <v>0.3368055555555556</v>
      </c>
      <c r="N598" s="5">
        <v>0.1159722222222222</v>
      </c>
      <c r="O598" s="3">
        <v>0</v>
      </c>
      <c r="P598" s="3">
        <v>0</v>
      </c>
      <c r="Q598" s="3" t="s">
        <v>24</v>
      </c>
      <c r="R598" s="3" t="s">
        <v>24</v>
      </c>
      <c r="S598" s="5">
        <f>_xlfn.IFS(F598="2C1",I598,F598="3C1",I598*0.666666666667,F598="3C2",I598*0.333333333333,F598="3CX","",F598="4C1",I598*0.5,F598="4C2",I598*0.5,F598="4C3","",F598="4CR","",F598="2CR","",F598="2CO","",F598="4CX","",TRUE,"")</f>
        <v>0.11597222222222223</v>
      </c>
      <c r="T598" s="3" t="s">
        <v>235</v>
      </c>
    </row>
    <row r="599" spans="1:20">
      <c r="A599" s="2">
        <v>46116</v>
      </c>
      <c r="B599" s="3" t="s">
        <v>195</v>
      </c>
      <c r="C599" s="3" t="s">
        <v>104</v>
      </c>
      <c r="D599" s="3" t="s">
        <v>20</v>
      </c>
      <c r="E599" s="3" t="s">
        <v>219</v>
      </c>
      <c r="F599" s="3" t="s">
        <v>71</v>
      </c>
      <c r="G599" s="4">
        <v>0.01736111111111111</v>
      </c>
      <c r="H599" s="4">
        <v>0.4430555555555555</v>
      </c>
      <c r="I599" s="5">
        <v>0.4256944444444444</v>
      </c>
      <c r="J599" s="4"/>
      <c r="K599" s="4"/>
      <c r="L599" s="5">
        <f>IF(J599&gt;0,MOD(K599-J599,1),"")</f>
        <v/>
      </c>
      <c r="M599" s="5">
        <v>0</v>
      </c>
      <c r="N599" s="5">
        <v>0.2837962962962963</v>
      </c>
      <c r="O599" s="3">
        <v>1</v>
      </c>
      <c r="P599" s="3">
        <v>1</v>
      </c>
      <c r="Q599" s="3" t="s">
        <v>24</v>
      </c>
      <c r="R599" s="3" t="s">
        <v>24</v>
      </c>
      <c r="S599" s="5">
        <f>_xlfn.IFS(F599="2C1",I599,F599="3C1",I599*0.666666666667,F599="3C2",I599*0.333333333333,F599="3CX","",F599="4C1",I599*0.5,F599="4C2",I599*0.5,F599="4C3","",F599="4CR","",F599="2CR","",F599="2CO","",F599="4CX","",TRUE,"")</f>
        <v>0.2837962962962963</v>
      </c>
      <c r="T599" s="3" t="s">
        <v>235</v>
      </c>
    </row>
    <row r="600" spans="1:20">
      <c r="A600" s="2">
        <v>46118</v>
      </c>
      <c r="B600" s="3" t="s">
        <v>56</v>
      </c>
      <c r="C600" s="3" t="s">
        <v>20</v>
      </c>
      <c r="D600" s="3" t="s">
        <v>57</v>
      </c>
      <c r="E600" s="3" t="s">
        <v>44</v>
      </c>
      <c r="F600" s="3" t="s">
        <v>51</v>
      </c>
      <c r="G600" s="4">
        <v>0.1652777777777778</v>
      </c>
      <c r="H600" s="4">
        <v>0.6256944444444444</v>
      </c>
      <c r="I600" s="5">
        <v>0.4604166666666666</v>
      </c>
      <c r="J600" s="4"/>
      <c r="K600" s="4"/>
      <c r="L600" s="5">
        <f>IF(J600&gt;0,MOD(K600-J600,1),"")</f>
        <v/>
      </c>
      <c r="M600" s="5">
        <v>0.1048611111111111</v>
      </c>
      <c r="N600" s="5">
        <v>0.2302083333333333</v>
      </c>
      <c r="O600" s="3">
        <v>1</v>
      </c>
      <c r="P600" s="3">
        <v>1</v>
      </c>
      <c r="Q600" s="3" t="s">
        <v>24</v>
      </c>
      <c r="R600" s="3" t="s">
        <v>24</v>
      </c>
      <c r="S600" s="5">
        <f>_xlfn.IFS(F600="2C1",I600,F600="3C1",I600*0.666666666667,F600="3C2",I600*0.333333333333,F600="3CX","",F600="4C1",I600*0.5,F600="4C2",I600*0.5,F600="4C3","",F600="4CR","",F600="2CR","",F600="2CO","",F600="4CX","",TRUE,"")</f>
        <v>0.23020833333333332</v>
      </c>
      <c r="T600" s="3" t="s">
        <v>236</v>
      </c>
    </row>
    <row r="601" spans="1:20">
      <c r="A601" s="2">
        <v>46120</v>
      </c>
      <c r="B601" s="3" t="s">
        <v>60</v>
      </c>
      <c r="C601" s="3" t="s">
        <v>57</v>
      </c>
      <c r="D601" s="3" t="s">
        <v>20</v>
      </c>
      <c r="E601" s="3" t="s">
        <v>32</v>
      </c>
      <c r="F601" s="3" t="s">
        <v>48</v>
      </c>
      <c r="G601" s="4">
        <v>0.7416666666666667</v>
      </c>
      <c r="H601" s="4">
        <v>0.2944444444444445</v>
      </c>
      <c r="I601" s="5">
        <v>0.5527777777777778</v>
      </c>
      <c r="J601" s="4"/>
      <c r="K601" s="4"/>
      <c r="L601" s="5">
        <f>IF(J601&gt;0,MOD(K601-J601,1),"")</f>
        <v/>
      </c>
      <c r="M601" s="5">
        <v>0.1541666666666667</v>
      </c>
      <c r="N601" s="5">
        <v>0.2763888888888889</v>
      </c>
      <c r="O601" s="3">
        <v>0</v>
      </c>
      <c r="P601" s="3">
        <v>0</v>
      </c>
      <c r="Q601" s="3" t="s">
        <v>24</v>
      </c>
      <c r="R601" s="3" t="s">
        <v>24</v>
      </c>
      <c r="S601" s="5">
        <f>_xlfn.IFS(F601="2C1",I601,F601="3C1",I601*0.666666666667,F601="3C2",I601*0.333333333333,F601="3CX","",F601="4C1",I601*0.5,F601="4C2",I601*0.5,F601="4C3","",F601="4CR","",F601="2CR","",F601="2CO","",F601="4CX","",TRUE,"")</f>
        <v>0.2763888888888889</v>
      </c>
      <c r="T601" s="3" t="s">
        <v>237</v>
      </c>
    </row>
    <row r="602" spans="1:20">
      <c r="A602" s="2">
        <v>46128</v>
      </c>
      <c r="B602" s="3" t="s">
        <v>56</v>
      </c>
      <c r="C602" s="3" t="s">
        <v>20</v>
      </c>
      <c r="D602" s="3" t="s">
        <v>57</v>
      </c>
      <c r="E602" s="3" t="s">
        <v>28</v>
      </c>
      <c r="F602" s="3" t="s">
        <v>51</v>
      </c>
      <c r="G602" s="4">
        <v>0.1722222222222222</v>
      </c>
      <c r="H602" s="4">
        <v>0.6319444444444444</v>
      </c>
      <c r="I602" s="5">
        <v>0.4597222222222222</v>
      </c>
      <c r="J602" s="4"/>
      <c r="K602" s="4"/>
      <c r="L602" s="5">
        <f>IF(J602&gt;0,MOD(K602-J602,1),"")</f>
        <v/>
      </c>
      <c r="M602" s="5">
        <v>0.1111111111111111</v>
      </c>
      <c r="N602" s="5">
        <v>0.2298611111111111</v>
      </c>
      <c r="O602" s="3">
        <v>1</v>
      </c>
      <c r="P602" s="3">
        <v>1</v>
      </c>
      <c r="Q602" s="3" t="s">
        <v>24</v>
      </c>
      <c r="R602" s="3" t="s">
        <v>24</v>
      </c>
      <c r="S602" s="5">
        <f>_xlfn.IFS(F602="2C1",I602,F602="3C1",I602*0.666666666667,F602="3C2",I602*0.333333333333,F602="3CX","",F602="4C1",I602*0.5,F602="4C2",I602*0.5,F602="4C3","",F602="4CR","",F602="2CR","",F602="2CO","",F602="4CX","",TRUE,"")</f>
        <v>0.2298611111111111</v>
      </c>
      <c r="T602" s="3" t="s">
        <v>238</v>
      </c>
    </row>
    <row r="603" spans="1:20">
      <c r="A603" s="2">
        <v>46130</v>
      </c>
      <c r="B603" s="3" t="s">
        <v>60</v>
      </c>
      <c r="C603" s="3" t="s">
        <v>57</v>
      </c>
      <c r="D603" s="3" t="s">
        <v>20</v>
      </c>
      <c r="E603" s="3" t="s">
        <v>28</v>
      </c>
      <c r="F603" s="3" t="s">
        <v>48</v>
      </c>
      <c r="G603" s="4">
        <v>0.7472222222222222</v>
      </c>
      <c r="H603" s="4">
        <v>0.2847222222222222</v>
      </c>
      <c r="I603" s="5">
        <v>0.5375</v>
      </c>
      <c r="J603" s="4"/>
      <c r="K603" s="4"/>
      <c r="L603" s="5">
        <f>IF(J603&gt;0,MOD(K603-J603,1),"")</f>
        <v/>
      </c>
      <c r="M603" s="5">
        <v>0.1486111111111111</v>
      </c>
      <c r="N603" s="5">
        <v>0.26875</v>
      </c>
      <c r="O603" s="3">
        <v>0</v>
      </c>
      <c r="P603" s="3">
        <v>0</v>
      </c>
      <c r="Q603" s="3" t="s">
        <v>24</v>
      </c>
      <c r="R603" s="3" t="s">
        <v>24</v>
      </c>
      <c r="S603" s="5">
        <f>_xlfn.IFS(F603="2C1",I603,F603="3C1",I603*0.666666666667,F603="3C2",I603*0.333333333333,F603="3CX","",F603="4C1",I603*0.5,F603="4C2",I603*0.5,F603="4C3","",F603="4CR","",F603="2CR","",F603="2CO","",F603="4CX","",TRUE,"")</f>
        <v>0.26875</v>
      </c>
      <c r="T603" s="3" t="s">
        <v>239</v>
      </c>
    </row>
    <row r="604" spans="1:20">
      <c r="A604" s="2">
        <v>46137</v>
      </c>
      <c r="B604" s="3" t="s">
        <v>56</v>
      </c>
      <c r="C604" s="3" t="s">
        <v>20</v>
      </c>
      <c r="D604" s="3" t="s">
        <v>57</v>
      </c>
      <c r="E604" s="3" t="s">
        <v>32</v>
      </c>
      <c r="F604" s="3" t="s">
        <v>51</v>
      </c>
      <c r="G604" s="4">
        <v>0.1659722222222222</v>
      </c>
      <c r="H604" s="4">
        <v>0.6076388888888888</v>
      </c>
      <c r="I604" s="5">
        <v>0.4416666666666667</v>
      </c>
      <c r="J604" s="4"/>
      <c r="K604" s="4"/>
      <c r="L604" s="5">
        <f>IF(J604&gt;0,MOD(K604-J604,1),"")</f>
        <v/>
      </c>
      <c r="M604" s="5">
        <v>0.08680555555555555</v>
      </c>
      <c r="N604" s="5">
        <v>0.2208333333333333</v>
      </c>
      <c r="O604" s="3">
        <v>1</v>
      </c>
      <c r="P604" s="3">
        <v>1</v>
      </c>
      <c r="Q604" s="3" t="s">
        <v>24</v>
      </c>
      <c r="R604" s="3" t="s">
        <v>24</v>
      </c>
      <c r="S604" s="5">
        <f>_xlfn.IFS(F604="2C1",I604,F604="3C1",I604*0.666666666667,F604="3C2",I604*0.333333333333,F604="3CX","",F604="4C1",I604*0.5,F604="4C2",I604*0.5,F604="4C3","",F604="4CR","",F604="2CR","",F604="2CO","",F604="4CX","",TRUE,"")</f>
        <v>0.22083333333333333</v>
      </c>
      <c r="T604" s="3" t="s">
        <v>240</v>
      </c>
    </row>
    <row r="605" spans="1:20">
      <c r="A605" s="2">
        <v>46139</v>
      </c>
      <c r="B605" s="3" t="s">
        <v>60</v>
      </c>
      <c r="C605" s="3" t="s">
        <v>57</v>
      </c>
      <c r="D605" s="3" t="s">
        <v>20</v>
      </c>
      <c r="E605" s="3" t="s">
        <v>32</v>
      </c>
      <c r="F605" s="3" t="s">
        <v>48</v>
      </c>
      <c r="G605" s="4">
        <v>0.7326388888888888</v>
      </c>
      <c r="H605" s="4">
        <v>0.2875</v>
      </c>
      <c r="I605" s="5">
        <v>0.5548611111111111</v>
      </c>
      <c r="J605" s="4"/>
      <c r="K605" s="4"/>
      <c r="L605" s="5">
        <f>IF(J605&gt;0,MOD(K605-J605,1),"")</f>
        <v/>
      </c>
      <c r="M605" s="5">
        <v>0.1631944444444444</v>
      </c>
      <c r="N605" s="5">
        <v>0.2774305555555556</v>
      </c>
      <c r="O605" s="3">
        <v>0</v>
      </c>
      <c r="P605" s="3">
        <v>0</v>
      </c>
      <c r="Q605" s="3" t="s">
        <v>24</v>
      </c>
      <c r="R605" s="3" t="s">
        <v>24</v>
      </c>
      <c r="S605" s="5">
        <f>_xlfn.IFS(F605="2C1",I605,F605="3C1",I605*0.666666666667,F605="3C2",I605*0.333333333333,F605="3CX","",F605="4C1",I605*0.5,F605="4C2",I605*0.5,F605="4C3","",F605="4CR","",F605="2CR","",F605="2CO","",F605="4CX","",TRUE,"")</f>
        <v>0.27743055555555557</v>
      </c>
      <c r="T605" s="3" t="s">
        <v>240</v>
      </c>
    </row>
    <row r="606" spans="1:20">
      <c r="A606" s="6" t="s">
        <v>36</v>
      </c>
      <c r="B606" s="6"/>
      <c r="C606" s="6"/>
      <c r="D606" s="6"/>
      <c r="E606" s="6"/>
      <c r="F606" s="6"/>
      <c r="G606" s="6"/>
      <c r="H606" s="6"/>
      <c r="I606" s="7">
        <f>SUM(I596:I605)</f>
        <v>4.229861111111111</v>
      </c>
      <c r="J606" s="8"/>
      <c r="K606" s="8"/>
      <c r="L606" s="7">
        <f>SUM(L596:L605)</f>
        <v>0.0</v>
      </c>
      <c r="M606" s="7">
        <f>SUM(M596:M605)</f>
        <v>1.4125</v>
      </c>
      <c r="N606" s="7">
        <f>SUM(N596:N605)</f>
        <v>2.352777777777778</v>
      </c>
      <c r="O606" s="8">
        <f>SUM(O596:O605)</f>
        <v>6</v>
      </c>
      <c r="P606" s="8">
        <f>SUM(P596:P605)</f>
        <v>5</v>
      </c>
      <c r="Q606" s="8"/>
      <c r="R606" s="8"/>
      <c r="S606" s="7">
        <f>SUM(S596:S605)</f>
        <v>2.352777777777778</v>
      </c>
      <c r="T606" s="8"/>
    </row>
    <row r="607" spans="1:20">
      <c r="A607" s="6" t="s">
        <v>37</v>
      </c>
      <c r="B607" s="6"/>
      <c r="C607" s="6"/>
      <c r="D607" s="6"/>
      <c r="E607" s="6"/>
      <c r="F607" s="6"/>
      <c r="G607" s="6"/>
      <c r="H607" s="6"/>
      <c r="I607" s="7">
        <v>663.8395833333333</v>
      </c>
      <c r="J607" s="8"/>
      <c r="K607" s="8"/>
      <c r="L607" s="7"/>
      <c r="M607" s="7">
        <v>244.9222222222222</v>
      </c>
      <c r="N607" s="7">
        <v>493.1111111111111</v>
      </c>
      <c r="O607" s="8">
        <v>1816</v>
      </c>
      <c r="P607" s="8">
        <v>1825</v>
      </c>
      <c r="Q607" s="8"/>
      <c r="R607" s="8"/>
      <c r="S607" s="7">
        <v>313.2590277777778</v>
      </c>
      <c r="T607" s="8"/>
    </row>
    <row r="608" spans="1:20">
      <c r="A608" s="6" t="s">
        <v>38</v>
      </c>
      <c r="B608" s="6"/>
      <c r="C608" s="6"/>
      <c r="D608" s="6"/>
      <c r="E608" s="6"/>
      <c r="F608" s="6"/>
      <c r="G608" s="6"/>
      <c r="H608" s="6"/>
      <c r="I608" s="7">
        <v>668.0694444444445</v>
      </c>
      <c r="J608" s="8"/>
      <c r="K608" s="8"/>
      <c r="L608" s="7"/>
      <c r="M608" s="7">
        <v>246.3347222222222</v>
      </c>
      <c r="N608" s="7">
        <v>495.4638888888889</v>
      </c>
      <c r="O608" s="8">
        <v>1822</v>
      </c>
      <c r="P608" s="8">
        <v>1830</v>
      </c>
      <c r="Q608" s="8"/>
      <c r="R608" s="8"/>
      <c r="S608" s="7">
        <v>315.6118055555556</v>
      </c>
      <c r="T608" s="8"/>
    </row>
    <row r="617" spans="1:20">
      <c r="A617" s="1" t="s">
        <v>0</v>
      </c>
      <c r="B617" s="1" t="s">
        <v>1</v>
      </c>
      <c r="C617" s="1" t="s">
        <v>2</v>
      </c>
      <c r="D617" s="1" t="s">
        <v>3</v>
      </c>
      <c r="E617" s="1" t="s">
        <v>4</v>
      </c>
      <c r="F617" s="1" t="s">
        <v>5</v>
      </c>
      <c r="G617" s="1" t="s">
        <v>6</v>
      </c>
      <c r="H617" s="1" t="s">
        <v>7</v>
      </c>
      <c r="I617" s="1" t="s">
        <v>8</v>
      </c>
      <c r="J617" s="1" t="s">
        <v>3</v>
      </c>
      <c r="K617" s="1" t="s">
        <v>9</v>
      </c>
      <c r="L617" s="1" t="s">
        <v>10</v>
      </c>
      <c r="M617" s="1" t="s">
        <v>11</v>
      </c>
      <c r="N617" s="1" t="s">
        <v>12</v>
      </c>
      <c r="O617" s="1" t="s">
        <v>13</v>
      </c>
      <c r="P617" s="1" t="s">
        <v>14</v>
      </c>
      <c r="Q617" s="1" t="s">
        <v>15</v>
      </c>
      <c r="R617" s="1" t="s">
        <v>16</v>
      </c>
      <c r="S617" s="1" t="s">
        <v>17</v>
      </c>
      <c r="T617" s="1" t="s">
        <v>18</v>
      </c>
    </row>
    <row r="618" spans="1:20">
      <c r="A618" s="2">
        <v>46146</v>
      </c>
      <c r="B618" s="3" t="s">
        <v>193</v>
      </c>
      <c r="C618" s="3" t="s">
        <v>20</v>
      </c>
      <c r="D618" s="3" t="s">
        <v>104</v>
      </c>
      <c r="E618" s="3" t="s">
        <v>172</v>
      </c>
      <c r="F618" s="3" t="s">
        <v>58</v>
      </c>
      <c r="G618" s="4">
        <v>0.5576388888888889</v>
      </c>
      <c r="H618" s="4">
        <v>0.8951388888888889</v>
      </c>
      <c r="I618" s="5">
        <v>0.3375</v>
      </c>
      <c r="J618" s="4"/>
      <c r="K618" s="4"/>
      <c r="L618" s="5">
        <f>IF(J618&gt;0,MOD(K618-J618,1),"")</f>
        <v/>
      </c>
      <c r="M618" s="5">
        <v>0.3381944444444445</v>
      </c>
      <c r="N618" s="5">
        <v>0.1125</v>
      </c>
      <c r="O618" s="3">
        <v>0</v>
      </c>
      <c r="P618" s="3">
        <v>0</v>
      </c>
      <c r="Q618" s="3" t="s">
        <v>24</v>
      </c>
      <c r="R618" s="3" t="s">
        <v>24</v>
      </c>
      <c r="S618" s="5">
        <f>_xlfn.IFS(F618="2C1",I618,F618="3C1",I618*0.666666666667,F618="3C2",I618*0.333333333333,F618="3CX","",F618="4C1",I618*0.5,F618="4C2",I618*0.5,F618="4C3","",F618="4CR","",F618="2CR","",F618="2CO","",F618="4CX","",TRUE,"")</f>
        <v>0.1125</v>
      </c>
      <c r="T618" s="3" t="s">
        <v>241</v>
      </c>
    </row>
    <row r="619" spans="1:20">
      <c r="A619" s="2">
        <v>46148</v>
      </c>
      <c r="B619" s="3" t="s">
        <v>195</v>
      </c>
      <c r="C619" s="3" t="s">
        <v>104</v>
      </c>
      <c r="D619" s="3" t="s">
        <v>20</v>
      </c>
      <c r="E619" s="3" t="s">
        <v>154</v>
      </c>
      <c r="F619" s="3" t="s">
        <v>71</v>
      </c>
      <c r="G619" s="4">
        <v>0.06319444444444444</v>
      </c>
      <c r="H619" s="4">
        <v>0.4743055555555555</v>
      </c>
      <c r="I619" s="5">
        <v>0.4111111111111111</v>
      </c>
      <c r="J619" s="4"/>
      <c r="K619" s="4"/>
      <c r="L619" s="5">
        <f>IF(J619&gt;0,MOD(K619-J619,1),"")</f>
        <v/>
      </c>
      <c r="M619" s="5">
        <v>0</v>
      </c>
      <c r="N619" s="5">
        <v>0.2740740740740741</v>
      </c>
      <c r="O619" s="3">
        <v>0</v>
      </c>
      <c r="P619" s="3">
        <v>1</v>
      </c>
      <c r="Q619" s="3" t="s">
        <v>45</v>
      </c>
      <c r="R619" s="3" t="s">
        <v>24</v>
      </c>
      <c r="S619" s="5">
        <f>_xlfn.IFS(F619="2C1",I619,F619="3C1",I619*0.666666666667,F619="3C2",I619*0.333333333333,F619="3CX","",F619="4C1",I619*0.5,F619="4C2",I619*0.5,F619="4C3","",F619="4CR","",F619="2CR","",F619="2CO","",F619="4CX","",TRUE,"")</f>
        <v>0.2740740740740741</v>
      </c>
      <c r="T619" s="3" t="s">
        <v>241</v>
      </c>
    </row>
    <row r="620" spans="1:20">
      <c r="A620" s="2">
        <v>46153</v>
      </c>
      <c r="B620" s="3" t="s">
        <v>242</v>
      </c>
      <c r="C620" s="3" t="s">
        <v>20</v>
      </c>
      <c r="D620" s="3" t="s">
        <v>21</v>
      </c>
      <c r="E620" s="3" t="s">
        <v>172</v>
      </c>
      <c r="F620" s="3" t="s">
        <v>46</v>
      </c>
      <c r="G620" s="4">
        <v>0.2013888888888889</v>
      </c>
      <c r="H620" s="4">
        <v>0.3</v>
      </c>
      <c r="I620" s="5">
        <v>0.09861111111111111</v>
      </c>
      <c r="J620" s="4"/>
      <c r="K620" s="4"/>
      <c r="L620" s="5">
        <f>IF(J620&gt;0,MOD(K620-J620,1),"")</f>
        <v/>
      </c>
      <c r="M620" s="5">
        <v>0</v>
      </c>
      <c r="N620" s="5">
        <v>0.09861111111111111</v>
      </c>
      <c r="O620" s="3">
        <v>1</v>
      </c>
      <c r="P620" s="3">
        <v>1</v>
      </c>
      <c r="Q620" s="3" t="s">
        <v>24</v>
      </c>
      <c r="R620" s="3" t="s">
        <v>24</v>
      </c>
      <c r="S620" s="5">
        <f>_xlfn.IFS(F620="2C1",I620,F620="3C1",I620*0.666666666667,F620="3C2",I620*0.333333333333,F620="3CX","",F620="4C1",I620*0.5,F620="4C2",I620*0.5,F620="4C3","",F620="4CR","",F620="2CR","",F620="2CO","",F620="4CX","",TRUE,"")</f>
        <v>0.09861111111111111</v>
      </c>
      <c r="T620" s="3" t="s">
        <v>243</v>
      </c>
    </row>
    <row r="621" spans="1:20">
      <c r="A621" s="2">
        <v>46153</v>
      </c>
      <c r="B621" s="3" t="s">
        <v>244</v>
      </c>
      <c r="C621" s="3" t="s">
        <v>21</v>
      </c>
      <c r="D621" s="3" t="s">
        <v>20</v>
      </c>
      <c r="E621" s="3" t="s">
        <v>172</v>
      </c>
      <c r="F621" s="3" t="s">
        <v>46</v>
      </c>
      <c r="G621" s="4">
        <v>0.3618055555555555</v>
      </c>
      <c r="H621" s="4">
        <v>0.4694444444444444</v>
      </c>
      <c r="I621" s="5">
        <v>0.1076388888888889</v>
      </c>
      <c r="J621" s="4"/>
      <c r="K621" s="4"/>
      <c r="L621" s="5">
        <f>IF(J621&gt;0,MOD(K621-J621,1),"")</f>
        <v/>
      </c>
      <c r="M621" s="5">
        <v>0</v>
      </c>
      <c r="N621" s="5">
        <v>0.1076388888888889</v>
      </c>
      <c r="O621" s="3">
        <v>0</v>
      </c>
      <c r="P621" s="3">
        <v>0</v>
      </c>
      <c r="Q621" s="3" t="s">
        <v>24</v>
      </c>
      <c r="R621" s="3" t="s">
        <v>24</v>
      </c>
      <c r="S621" s="5">
        <f>_xlfn.IFS(F621="2C1",I621,F621="3C1",I621*0.666666666667,F621="3C2",I621*0.333333333333,F621="3CX","",F621="4C1",I621*0.5,F621="4C2",I621*0.5,F621="4C3","",F621="4CR","",F621="2CR","",F621="2CO","",F621="4CX","",TRUE,"")</f>
        <v>0.1076388888888889</v>
      </c>
      <c r="T621" s="3" t="s">
        <v>243</v>
      </c>
    </row>
    <row r="622" spans="1:20">
      <c r="A622" s="2">
        <v>46157</v>
      </c>
      <c r="B622" s="3" t="s">
        <v>242</v>
      </c>
      <c r="C622" s="3" t="s">
        <v>20</v>
      </c>
      <c r="D622" s="3" t="s">
        <v>21</v>
      </c>
      <c r="E622" s="3" t="s">
        <v>172</v>
      </c>
      <c r="F622" s="3" t="s">
        <v>46</v>
      </c>
      <c r="G622" s="4">
        <v>0.2</v>
      </c>
      <c r="H622" s="4">
        <v>0.30625</v>
      </c>
      <c r="I622" s="5">
        <v>0.10625</v>
      </c>
      <c r="J622" s="4"/>
      <c r="K622" s="4"/>
      <c r="L622" s="5">
        <f>IF(J622&gt;0,MOD(K622-J622,1),"")</f>
        <v/>
      </c>
      <c r="M622" s="5">
        <v>0</v>
      </c>
      <c r="N622" s="5">
        <v>0.10625</v>
      </c>
      <c r="O622" s="3">
        <v>1</v>
      </c>
      <c r="P622" s="3">
        <v>1</v>
      </c>
      <c r="Q622" s="3" t="s">
        <v>24</v>
      </c>
      <c r="R622" s="3" t="s">
        <v>24</v>
      </c>
      <c r="S622" s="5">
        <f>_xlfn.IFS(F622="2C1",I622,F622="3C1",I622*0.666666666667,F622="3C2",I622*0.333333333333,F622="3CX","",F622="4C1",I622*0.5,F622="4C2",I622*0.5,F622="4C3","",F622="4CR","",F622="2CR","",F622="2CO","",F622="4CX","",TRUE,"")</f>
        <v>0.10625</v>
      </c>
      <c r="T622" s="3" t="s">
        <v>245</v>
      </c>
    </row>
    <row r="623" spans="1:20">
      <c r="A623" s="2">
        <v>46157</v>
      </c>
      <c r="B623" s="3" t="s">
        <v>244</v>
      </c>
      <c r="C623" s="3" t="s">
        <v>21</v>
      </c>
      <c r="D623" s="3" t="s">
        <v>20</v>
      </c>
      <c r="E623" s="3" t="s">
        <v>172</v>
      </c>
      <c r="F623" s="3" t="s">
        <v>46</v>
      </c>
      <c r="G623" s="4">
        <v>0.3631944444444444</v>
      </c>
      <c r="H623" s="4">
        <v>0.4659722222222222</v>
      </c>
      <c r="I623" s="5">
        <v>0.1027777777777778</v>
      </c>
      <c r="J623" s="4"/>
      <c r="K623" s="4"/>
      <c r="L623" s="5">
        <f>IF(J623&gt;0,MOD(K623-J623,1),"")</f>
        <v/>
      </c>
      <c r="M623" s="5">
        <v>0</v>
      </c>
      <c r="N623" s="5">
        <v>0.1027777777777778</v>
      </c>
      <c r="O623" s="3">
        <v>0</v>
      </c>
      <c r="P623" s="3">
        <v>0</v>
      </c>
      <c r="Q623" s="3" t="s">
        <v>24</v>
      </c>
      <c r="R623" s="3" t="s">
        <v>24</v>
      </c>
      <c r="S623" s="5">
        <f>_xlfn.IFS(F623="2C1",I623,F623="3C1",I623*0.666666666667,F623="3C2",I623*0.333333333333,F623="3CX","",F623="4C1",I623*0.5,F623="4C2",I623*0.5,F623="4C3","",F623="4CR","",F623="2CR","",F623="2CO","",F623="4CX","",TRUE,"")</f>
        <v>0.10277777777777777</v>
      </c>
      <c r="T623" s="3" t="s">
        <v>245</v>
      </c>
    </row>
    <row r="624" spans="1:20">
      <c r="A624" s="2">
        <v>46162</v>
      </c>
      <c r="B624" s="3" t="s">
        <v>159</v>
      </c>
      <c r="C624" s="3" t="s">
        <v>20</v>
      </c>
      <c r="D624" s="3" t="s">
        <v>160</v>
      </c>
      <c r="E624" s="3" t="s">
        <v>219</v>
      </c>
      <c r="F624" s="3" t="s">
        <v>46</v>
      </c>
      <c r="G624" s="4">
        <v>0.01319444444444444</v>
      </c>
      <c r="H624" s="4">
        <v>0.1631944444444444</v>
      </c>
      <c r="I624" s="5">
        <v>0.15</v>
      </c>
      <c r="J624" s="4"/>
      <c r="K624" s="4"/>
      <c r="L624" s="5">
        <f>IF(J624&gt;0,MOD(K624-J624,1),"")</f>
        <v/>
      </c>
      <c r="M624" s="5">
        <v>0</v>
      </c>
      <c r="N624" s="5">
        <v>0.15</v>
      </c>
      <c r="O624" s="3">
        <v>1</v>
      </c>
      <c r="P624" s="3">
        <v>0</v>
      </c>
      <c r="Q624" s="3" t="s">
        <v>24</v>
      </c>
      <c r="R624" s="3" t="s">
        <v>24</v>
      </c>
      <c r="S624" s="5">
        <f>_xlfn.IFS(F624="2C1",I624,F624="3C1",I624*0.666666666667,F624="3C2",I624*0.333333333333,F624="3CX","",F624="4C1",I624*0.5,F624="4C2",I624*0.5,F624="4C3","",F624="4CR","",F624="2CR","",F624="2CO","",F624="4CX","",TRUE,"")</f>
        <v>0.15</v>
      </c>
      <c r="T624" s="3" t="s">
        <v>246</v>
      </c>
    </row>
    <row r="625" spans="1:20">
      <c r="A625" s="2">
        <v>46162</v>
      </c>
      <c r="B625" s="3" t="s">
        <v>162</v>
      </c>
      <c r="C625" s="3" t="s">
        <v>160</v>
      </c>
      <c r="D625" s="3" t="s">
        <v>20</v>
      </c>
      <c r="E625" s="3" t="s">
        <v>219</v>
      </c>
      <c r="F625" s="3" t="s">
        <v>46</v>
      </c>
      <c r="G625" s="4">
        <v>0.2291666666666667</v>
      </c>
      <c r="H625" s="4">
        <v>0.3729166666666667</v>
      </c>
      <c r="I625" s="5">
        <v>0.14375</v>
      </c>
      <c r="J625" s="4"/>
      <c r="K625" s="4"/>
      <c r="L625" s="5">
        <f>IF(J625&gt;0,MOD(K625-J625,1),"")</f>
        <v/>
      </c>
      <c r="M625" s="5">
        <v>0</v>
      </c>
      <c r="N625" s="5">
        <v>0.14375</v>
      </c>
      <c r="O625" s="3">
        <v>0</v>
      </c>
      <c r="P625" s="3">
        <v>1</v>
      </c>
      <c r="Q625" s="3" t="s">
        <v>24</v>
      </c>
      <c r="R625" s="3" t="s">
        <v>24</v>
      </c>
      <c r="S625" s="5">
        <f>_xlfn.IFS(F625="2C1",I625,F625="3C1",I625*0.666666666667,F625="3C2",I625*0.333333333333,F625="3CX","",F625="4C1",I625*0.5,F625="4C2",I625*0.5,F625="4C3","",F625="4CR","",F625="2CR","",F625="2CO","",F625="4CX","",TRUE,"")</f>
        <v>0.14375</v>
      </c>
      <c r="T625" s="3" t="s">
        <v>246</v>
      </c>
    </row>
    <row r="626" spans="1:20">
      <c r="A626" s="2">
        <v>46171</v>
      </c>
      <c r="B626" s="3" t="s">
        <v>121</v>
      </c>
      <c r="C626" s="3" t="s">
        <v>20</v>
      </c>
      <c r="D626" s="3" t="s">
        <v>122</v>
      </c>
      <c r="E626" s="3" t="s">
        <v>154</v>
      </c>
      <c r="F626" s="3" t="s">
        <v>48</v>
      </c>
      <c r="G626" s="4">
        <v>0.3743055555555556</v>
      </c>
      <c r="H626" s="4">
        <v>0.8194444444444444</v>
      </c>
      <c r="I626" s="5">
        <v>0.4451388888888889</v>
      </c>
      <c r="J626" s="4"/>
      <c r="K626" s="4"/>
      <c r="L626" s="5">
        <f>IF(J626&gt;0,MOD(K626-J626,1),"")</f>
        <v/>
      </c>
      <c r="M626" s="5">
        <v>0.2986111111111111</v>
      </c>
      <c r="N626" s="5">
        <v>0.2225694444444444</v>
      </c>
      <c r="O626" s="3">
        <v>0</v>
      </c>
      <c r="P626" s="3">
        <v>0</v>
      </c>
      <c r="Q626" s="3" t="s">
        <v>24</v>
      </c>
      <c r="R626" s="3" t="s">
        <v>24</v>
      </c>
      <c r="S626" s="5">
        <f>_xlfn.IFS(F626="2C1",I626,F626="3C1",I626*0.666666666667,F626="3C2",I626*0.333333333333,F626="3CX","",F626="4C1",I626*0.5,F626="4C2",I626*0.5,F626="4C3","",F626="4CR","",F626="2CR","",F626="2CO","",F626="4CX","",TRUE,"")</f>
        <v>0.22256944444444443</v>
      </c>
      <c r="T626" s="3" t="s">
        <v>247</v>
      </c>
    </row>
    <row r="627" spans="1:20">
      <c r="A627" s="2">
        <v>46172</v>
      </c>
      <c r="B627" s="3" t="s">
        <v>124</v>
      </c>
      <c r="C627" s="3" t="s">
        <v>122</v>
      </c>
      <c r="D627" s="3" t="s">
        <v>20</v>
      </c>
      <c r="E627" s="3" t="s">
        <v>172</v>
      </c>
      <c r="F627" s="3" t="s">
        <v>51</v>
      </c>
      <c r="G627" s="4">
        <v>0.9375</v>
      </c>
      <c r="H627" s="4">
        <v>0.4715277777777778</v>
      </c>
      <c r="I627" s="5">
        <v>0.5340277777777778</v>
      </c>
      <c r="J627" s="4"/>
      <c r="K627" s="4"/>
      <c r="L627" s="5">
        <f>IF(J627&gt;0,MOD(K627-J627,1),"")</f>
        <v/>
      </c>
      <c r="M627" s="5">
        <v>0</v>
      </c>
      <c r="N627" s="5">
        <v>0.2670138888888889</v>
      </c>
      <c r="O627" s="3">
        <v>0</v>
      </c>
      <c r="P627" s="3">
        <v>0</v>
      </c>
      <c r="Q627" s="3" t="s">
        <v>24</v>
      </c>
      <c r="R627" s="3" t="s">
        <v>24</v>
      </c>
      <c r="S627" s="5">
        <f>_xlfn.IFS(F627="2C1",I627,F627="3C1",I627*0.666666666667,F627="3C2",I627*0.333333333333,F627="3CX","",F627="4C1",I627*0.5,F627="4C2",I627*0.5,F627="4C3","",F627="4CR","",F627="2CR","",F627="2CO","",F627="4CX","",TRUE,"")</f>
        <v>0.2670138888888889</v>
      </c>
      <c r="T627" s="3" t="s">
        <v>247</v>
      </c>
    </row>
    <row r="628" spans="1:20">
      <c r="A628" s="6" t="s">
        <v>36</v>
      </c>
      <c r="B628" s="6"/>
      <c r="C628" s="6"/>
      <c r="D628" s="6"/>
      <c r="E628" s="6"/>
      <c r="F628" s="6"/>
      <c r="G628" s="6"/>
      <c r="H628" s="6"/>
      <c r="I628" s="7">
        <f>SUM(I618:I627)</f>
        <v>2.4368055555555554</v>
      </c>
      <c r="J628" s="8"/>
      <c r="K628" s="8"/>
      <c r="L628" s="7">
        <f>SUM(L618:L627)</f>
        <v>0.0</v>
      </c>
      <c r="M628" s="7">
        <f>SUM(M618:M627)</f>
        <v>0.6368055555555555</v>
      </c>
      <c r="N628" s="7">
        <f>SUM(N618:N627)</f>
        <v>1.5854166666666667</v>
      </c>
      <c r="O628" s="8">
        <f>SUM(O618:O627)</f>
        <v>3</v>
      </c>
      <c r="P628" s="8">
        <f>SUM(P618:P627)</f>
        <v>4</v>
      </c>
      <c r="Q628" s="8"/>
      <c r="R628" s="8"/>
      <c r="S628" s="7">
        <f>SUM(S618:S627)</f>
        <v>1.5854166666666667</v>
      </c>
      <c r="T628" s="8"/>
    </row>
    <row r="629" spans="1:20">
      <c r="A629" s="6" t="s">
        <v>37</v>
      </c>
      <c r="B629" s="6"/>
      <c r="C629" s="6"/>
      <c r="D629" s="6"/>
      <c r="E629" s="6"/>
      <c r="F629" s="6"/>
      <c r="G629" s="6"/>
      <c r="H629" s="6"/>
      <c r="I629" s="7">
        <v>668.0694444444445</v>
      </c>
      <c r="J629" s="8"/>
      <c r="K629" s="8"/>
      <c r="L629" s="7"/>
      <c r="M629" s="7">
        <v>246.3347222222222</v>
      </c>
      <c r="N629" s="7">
        <v>495.4638888888889</v>
      </c>
      <c r="O629" s="8">
        <v>1822</v>
      </c>
      <c r="P629" s="8">
        <v>1830</v>
      </c>
      <c r="Q629" s="8"/>
      <c r="R629" s="8"/>
      <c r="S629" s="7">
        <v>315.6118055555556</v>
      </c>
      <c r="T629" s="8"/>
    </row>
    <row r="630" spans="1:20">
      <c r="A630" s="6" t="s">
        <v>38</v>
      </c>
      <c r="B630" s="6"/>
      <c r="C630" s="6"/>
      <c r="D630" s="6"/>
      <c r="E630" s="6"/>
      <c r="F630" s="6"/>
      <c r="G630" s="6"/>
      <c r="H630" s="6"/>
      <c r="I630" s="7">
        <v>670.50625</v>
      </c>
      <c r="J630" s="8"/>
      <c r="K630" s="8"/>
      <c r="L630" s="7"/>
      <c r="M630" s="7">
        <v>246.9715277777778</v>
      </c>
      <c r="N630" s="7">
        <v>497.0493055555556</v>
      </c>
      <c r="O630" s="8">
        <v>1825</v>
      </c>
      <c r="P630" s="8">
        <v>1834</v>
      </c>
      <c r="Q630" s="8"/>
      <c r="R630" s="8"/>
      <c r="S630" s="7">
        <v>317.1972222222222</v>
      </c>
      <c r="T630" s="8"/>
    </row>
    <row r="639" spans="1:20">
      <c r="A639" s="1" t="s">
        <v>0</v>
      </c>
      <c r="B639" s="1" t="s">
        <v>1</v>
      </c>
      <c r="C639" s="1" t="s">
        <v>2</v>
      </c>
      <c r="D639" s="1" t="s">
        <v>3</v>
      </c>
      <c r="E639" s="1" t="s">
        <v>4</v>
      </c>
      <c r="F639" s="1" t="s">
        <v>5</v>
      </c>
      <c r="G639" s="1" t="s">
        <v>6</v>
      </c>
      <c r="H639" s="1" t="s">
        <v>7</v>
      </c>
      <c r="I639" s="1" t="s">
        <v>8</v>
      </c>
      <c r="J639" s="1" t="s">
        <v>3</v>
      </c>
      <c r="K639" s="1" t="s">
        <v>9</v>
      </c>
      <c r="L639" s="1" t="s">
        <v>10</v>
      </c>
      <c r="M639" s="1" t="s">
        <v>11</v>
      </c>
      <c r="N639" s="1" t="s">
        <v>12</v>
      </c>
      <c r="O639" s="1" t="s">
        <v>13</v>
      </c>
      <c r="P639" s="1" t="s">
        <v>14</v>
      </c>
      <c r="Q639" s="1" t="s">
        <v>15</v>
      </c>
      <c r="R639" s="1" t="s">
        <v>16</v>
      </c>
      <c r="S639" s="1" t="s">
        <v>17</v>
      </c>
      <c r="T639" s="1" t="s">
        <v>18</v>
      </c>
    </row>
    <row r="640" spans="1:20">
      <c r="A640" s="2">
        <v>46184</v>
      </c>
      <c r="B640" s="3" t="s">
        <v>164</v>
      </c>
      <c r="C640" s="3" t="s">
        <v>20</v>
      </c>
      <c r="D640" s="3" t="s">
        <v>165</v>
      </c>
      <c r="E640" s="3" t="s">
        <v>50</v>
      </c>
      <c r="F640" s="3" t="s">
        <v>46</v>
      </c>
      <c r="G640" s="4">
        <v>0.3708333333333333</v>
      </c>
      <c r="H640" s="4">
        <v>0.5541666666666667</v>
      </c>
      <c r="I640" s="5">
        <v>0.1833333333333333</v>
      </c>
      <c r="J640" s="4"/>
      <c r="K640" s="4"/>
      <c r="L640" s="5">
        <f>IF(J640&gt;0,MOD(K640-J640,1),"")</f>
        <v/>
      </c>
      <c r="M640" s="5">
        <v>0.03333333333333333</v>
      </c>
      <c r="N640" s="5">
        <v>0.1833333333333333</v>
      </c>
      <c r="O640" s="3">
        <v>1</v>
      </c>
      <c r="P640" s="3">
        <v>1</v>
      </c>
      <c r="Q640" s="3" t="s">
        <v>24</v>
      </c>
      <c r="R640" s="3" t="s">
        <v>24</v>
      </c>
      <c r="S640" s="5">
        <f>_xlfn.IFS(F640="2C1",I640,F640="3C1",I640*0.666666666667,F640="3C2",I640*0.333333333333,F640="3CX","",F640="4C1",I640*0.5,F640="4C2",I640*0.5,F640="4C3","",F640="4CR","",F640="2CR","",F640="2CO","",F640="4CX","",TRUE,"")</f>
        <v>0.18333333333333332</v>
      </c>
      <c r="T640" s="3" t="s">
        <v>248</v>
      </c>
    </row>
    <row r="641" spans="1:20">
      <c r="A641" s="2">
        <v>46187</v>
      </c>
      <c r="B641" s="3" t="s">
        <v>167</v>
      </c>
      <c r="C641" s="3" t="s">
        <v>165</v>
      </c>
      <c r="D641" s="3" t="s">
        <v>20</v>
      </c>
      <c r="E641" s="3" t="s">
        <v>32</v>
      </c>
      <c r="F641" s="3" t="s">
        <v>46</v>
      </c>
      <c r="G641" s="4">
        <v>0.6576388888888889</v>
      </c>
      <c r="H641" s="4">
        <v>0.8402777777777778</v>
      </c>
      <c r="I641" s="5">
        <v>0.1826388888888889</v>
      </c>
      <c r="J641" s="4"/>
      <c r="K641" s="4"/>
      <c r="L641" s="5">
        <f>IF(J641&gt;0,MOD(K641-J641,1),"")</f>
        <v/>
      </c>
      <c r="M641" s="5">
        <v>0.2034722222222222</v>
      </c>
      <c r="N641" s="5">
        <v>0.1826388888888889</v>
      </c>
      <c r="O641" s="3">
        <v>0</v>
      </c>
      <c r="P641" s="3">
        <v>0</v>
      </c>
      <c r="Q641" s="3" t="s">
        <v>24</v>
      </c>
      <c r="R641" s="3" t="s">
        <v>24</v>
      </c>
      <c r="S641" s="5">
        <f>_xlfn.IFS(F641="2C1",I641,F641="3C1",I641*0.666666666667,F641="3C2",I641*0.333333333333,F641="3CX","",F641="4C1",I641*0.5,F641="4C2",I641*0.5,F641="4C3","",F641="4CR","",F641="2CR","",F641="2CO","",F641="4CX","",TRUE,"")</f>
        <v>0.18263888888888888</v>
      </c>
      <c r="T641" s="3" t="s">
        <v>249</v>
      </c>
    </row>
    <row r="642" spans="1:20">
      <c r="A642" s="2">
        <v>46190</v>
      </c>
      <c r="B642" s="3" t="s">
        <v>56</v>
      </c>
      <c r="C642" s="3" t="s">
        <v>20</v>
      </c>
      <c r="D642" s="3" t="s">
        <v>57</v>
      </c>
      <c r="E642" s="3" t="s">
        <v>50</v>
      </c>
      <c r="F642" s="3" t="s">
        <v>48</v>
      </c>
      <c r="G642" s="4">
        <v>0.1645833333333333</v>
      </c>
      <c r="H642" s="4">
        <v>0.63125</v>
      </c>
      <c r="I642" s="5">
        <v>0.4666666666666667</v>
      </c>
      <c r="J642" s="4"/>
      <c r="K642" s="4"/>
      <c r="L642" s="5">
        <f>IF(J642&gt;0,MOD(K642-J642,1),"")</f>
        <v/>
      </c>
      <c r="M642" s="5">
        <v>0.1104166666666667</v>
      </c>
      <c r="N642" s="5">
        <v>0.2333333333333333</v>
      </c>
      <c r="O642" s="3">
        <v>0</v>
      </c>
      <c r="P642" s="3">
        <v>0</v>
      </c>
      <c r="Q642" s="3" t="s">
        <v>24</v>
      </c>
      <c r="R642" s="3" t="s">
        <v>24</v>
      </c>
      <c r="S642" s="5">
        <f>_xlfn.IFS(F642="2C1",I642,F642="3C1",I642*0.666666666667,F642="3C2",I642*0.333333333333,F642="3CX","",F642="4C1",I642*0.5,F642="4C2",I642*0.5,F642="4C3","",F642="4CR","",F642="2CR","",F642="2CO","",F642="4CX","",TRUE,"")</f>
        <v>0.23333333333333334</v>
      </c>
      <c r="T642" s="3" t="s">
        <v>250</v>
      </c>
    </row>
    <row r="643" spans="1:20">
      <c r="A643" s="2">
        <v>46192</v>
      </c>
      <c r="B643" s="3" t="s">
        <v>188</v>
      </c>
      <c r="C643" s="3" t="s">
        <v>57</v>
      </c>
      <c r="D643" s="3" t="s">
        <v>20</v>
      </c>
      <c r="E643" s="3" t="s">
        <v>50</v>
      </c>
      <c r="F643" s="3" t="s">
        <v>48</v>
      </c>
      <c r="G643" s="4">
        <v>0.2729166666666666</v>
      </c>
      <c r="H643" s="4">
        <v>0.7798611111111111</v>
      </c>
      <c r="I643" s="5">
        <v>0.5069444444444444</v>
      </c>
      <c r="J643" s="4"/>
      <c r="K643" s="4"/>
      <c r="L643" s="5">
        <f>IF(J643&gt;0,MOD(K643-J643,1),"")</f>
        <v/>
      </c>
      <c r="M643" s="5">
        <v>0.2590277777777778</v>
      </c>
      <c r="N643" s="5">
        <v>0.2534722222222222</v>
      </c>
      <c r="O643" s="3">
        <v>0</v>
      </c>
      <c r="P643" s="3">
        <v>0</v>
      </c>
      <c r="Q643" s="3" t="s">
        <v>24</v>
      </c>
      <c r="R643" s="3" t="s">
        <v>24</v>
      </c>
      <c r="S643" s="5">
        <f>_xlfn.IFS(F643="2C1",I643,F643="3C1",I643*0.666666666667,F643="3C2",I643*0.333333333333,F643="3CX","",F643="4C1",I643*0.5,F643="4C2",I643*0.5,F643="4C3","",F643="4CR","",F643="2CR","",F643="2CO","",F643="4CX","",TRUE,"")</f>
        <v>0.2534722222222222</v>
      </c>
      <c r="T643" s="3" t="s">
        <v>251</v>
      </c>
    </row>
    <row r="644" spans="1:20">
      <c r="A644" s="2">
        <v>46197</v>
      </c>
      <c r="B644" s="3" t="s">
        <v>19</v>
      </c>
      <c r="C644" s="3" t="s">
        <v>20</v>
      </c>
      <c r="D644" s="3" t="s">
        <v>21</v>
      </c>
      <c r="E644" s="3" t="s">
        <v>189</v>
      </c>
      <c r="F644" s="3" t="s">
        <v>46</v>
      </c>
      <c r="G644" s="4">
        <v>0.9930555555555556</v>
      </c>
      <c r="H644" s="4">
        <v>0.07916666666666666</v>
      </c>
      <c r="I644" s="5">
        <v>0.08611111111111111</v>
      </c>
      <c r="J644" s="4"/>
      <c r="K644" s="4"/>
      <c r="L644" s="5">
        <f>IF(J644&gt;0,MOD(K644-J644,1),"")</f>
        <v/>
      </c>
      <c r="M644" s="5">
        <v>0</v>
      </c>
      <c r="N644" s="5">
        <v>0.08611111111111111</v>
      </c>
      <c r="O644" s="3">
        <v>1</v>
      </c>
      <c r="P644" s="3">
        <v>1</v>
      </c>
      <c r="Q644" s="3" t="s">
        <v>24</v>
      </c>
      <c r="R644" s="3" t="s">
        <v>24</v>
      </c>
      <c r="S644" s="5">
        <f>_xlfn.IFS(F644="2C1",I644,F644="3C1",I644*0.666666666667,F644="3C2",I644*0.333333333333,F644="3CX","",F644="4C1",I644*0.5,F644="4C2",I644*0.5,F644="4C3","",F644="4CR","",F644="2CR","",F644="2CO","",F644="4CX","",TRUE,"")</f>
        <v>0.08611111111111111</v>
      </c>
      <c r="T644" s="3" t="s">
        <v>252</v>
      </c>
    </row>
    <row r="645" spans="1:20">
      <c r="A645" s="2">
        <v>46198</v>
      </c>
      <c r="B645" s="3" t="s">
        <v>26</v>
      </c>
      <c r="C645" s="3" t="s">
        <v>21</v>
      </c>
      <c r="D645" s="3" t="s">
        <v>20</v>
      </c>
      <c r="E645" s="3" t="s">
        <v>189</v>
      </c>
      <c r="F645" s="3" t="s">
        <v>46</v>
      </c>
      <c r="G645" s="4">
        <v>0.1458333333333333</v>
      </c>
      <c r="H645" s="4">
        <v>0.2576388888888889</v>
      </c>
      <c r="I645" s="5">
        <v>0.1118055555555556</v>
      </c>
      <c r="J645" s="4"/>
      <c r="K645" s="4"/>
      <c r="L645" s="5">
        <f>IF(J645&gt;0,MOD(K645-J645,1),"")</f>
        <v/>
      </c>
      <c r="M645" s="5">
        <v>0</v>
      </c>
      <c r="N645" s="5">
        <v>0.1118055555555556</v>
      </c>
      <c r="O645" s="3">
        <v>0</v>
      </c>
      <c r="P645" s="3">
        <v>0</v>
      </c>
      <c r="Q645" s="3" t="s">
        <v>24</v>
      </c>
      <c r="R645" s="3" t="s">
        <v>24</v>
      </c>
      <c r="S645" s="5">
        <f>_xlfn.IFS(F645="2C1",I645,F645="3C1",I645*0.666666666667,F645="3C2",I645*0.333333333333,F645="3CX","",F645="4C1",I645*0.5,F645="4C2",I645*0.5,F645="4C3","",F645="4CR","",F645="2CR","",F645="2CO","",F645="4CX","",TRUE,"")</f>
        <v>0.11180555555555556</v>
      </c>
      <c r="T645" s="3" t="s">
        <v>252</v>
      </c>
    </row>
    <row r="646" spans="1:20">
      <c r="A646" s="3"/>
      <c r="B646" s="3"/>
      <c r="C646" s="3"/>
      <c r="D646" s="3"/>
      <c r="E646" s="3"/>
      <c r="F646" s="3"/>
      <c r="G646" s="3"/>
      <c r="H646" s="3"/>
      <c r="I646" s="3"/>
      <c r="J646" s="3"/>
      <c r="K646" s="3"/>
      <c r="L646" s="3"/>
      <c r="M646" s="3"/>
      <c r="N646" s="3"/>
      <c r="O646" s="3"/>
      <c r="P646" s="3"/>
      <c r="Q646" s="3"/>
      <c r="R646" s="3"/>
      <c r="S646" s="3"/>
      <c r="T646" s="3"/>
    </row>
    <row r="647" spans="1:20">
      <c r="A647" s="3"/>
      <c r="B647" s="3"/>
      <c r="C647" s="3"/>
      <c r="D647" s="3"/>
      <c r="E647" s="3"/>
      <c r="F647" s="3"/>
      <c r="G647" s="3"/>
      <c r="H647" s="3"/>
      <c r="I647" s="3"/>
      <c r="J647" s="3"/>
      <c r="K647" s="3"/>
      <c r="L647" s="3"/>
      <c r="M647" s="3"/>
      <c r="N647" s="3"/>
      <c r="O647" s="3"/>
      <c r="P647" s="3"/>
      <c r="Q647" s="3"/>
      <c r="R647" s="3"/>
      <c r="S647" s="3"/>
      <c r="T647" s="3"/>
    </row>
    <row r="648" spans="1:20">
      <c r="A648" s="3"/>
      <c r="B648" s="3"/>
      <c r="C648" s="3"/>
      <c r="D648" s="3"/>
      <c r="E648" s="3"/>
      <c r="F648" s="3"/>
      <c r="G648" s="3"/>
      <c r="H648" s="3"/>
      <c r="I648" s="3"/>
      <c r="J648" s="3"/>
      <c r="K648" s="3"/>
      <c r="L648" s="3"/>
      <c r="M648" s="3"/>
      <c r="N648" s="3"/>
      <c r="O648" s="3"/>
      <c r="P648" s="3"/>
      <c r="Q648" s="3"/>
      <c r="R648" s="3"/>
      <c r="S648" s="3"/>
      <c r="T648" s="3"/>
    </row>
    <row r="649" spans="1:20">
      <c r="A649" s="3"/>
      <c r="B649" s="3"/>
      <c r="C649" s="3"/>
      <c r="D649" s="3"/>
      <c r="E649" s="3"/>
      <c r="F649" s="3"/>
      <c r="G649" s="3"/>
      <c r="H649" s="3"/>
      <c r="I649" s="3"/>
      <c r="J649" s="3"/>
      <c r="K649" s="3"/>
      <c r="L649" s="3"/>
      <c r="M649" s="3"/>
      <c r="N649" s="3"/>
      <c r="O649" s="3"/>
      <c r="P649" s="3"/>
      <c r="Q649" s="3"/>
      <c r="R649" s="3"/>
      <c r="S649" s="3"/>
      <c r="T649" s="3"/>
    </row>
    <row r="650" spans="1:20">
      <c r="A650" s="6" t="s">
        <v>36</v>
      </c>
      <c r="B650" s="6"/>
      <c r="C650" s="6"/>
      <c r="D650" s="6"/>
      <c r="E650" s="6"/>
      <c r="F650" s="6"/>
      <c r="G650" s="6"/>
      <c r="H650" s="6"/>
      <c r="I650" s="7">
        <f>SUM(I640:I649)</f>
        <v>1.5375</v>
      </c>
      <c r="J650" s="8"/>
      <c r="K650" s="8"/>
      <c r="L650" s="7">
        <f>SUM(L640:L649)</f>
        <v>0.0</v>
      </c>
      <c r="M650" s="7">
        <f>SUM(M640:M649)</f>
        <v>0.60625</v>
      </c>
      <c r="N650" s="7">
        <f>SUM(N640:N649)</f>
        <v>1.0506944444444444</v>
      </c>
      <c r="O650" s="8">
        <f>SUM(O640:O649)</f>
        <v>2</v>
      </c>
      <c r="P650" s="8">
        <f>SUM(P640:P649)</f>
        <v>2</v>
      </c>
      <c r="Q650" s="8"/>
      <c r="R650" s="8"/>
      <c r="S650" s="7">
        <f>SUM(S640:S649)</f>
        <v>1.0506944444444444</v>
      </c>
      <c r="T650" s="8"/>
    </row>
    <row r="651" spans="1:20">
      <c r="A651" s="6" t="s">
        <v>37</v>
      </c>
      <c r="B651" s="6"/>
      <c r="C651" s="6"/>
      <c r="D651" s="6"/>
      <c r="E651" s="6"/>
      <c r="F651" s="6"/>
      <c r="G651" s="6"/>
      <c r="H651" s="6"/>
      <c r="I651" s="7">
        <v>670.50625</v>
      </c>
      <c r="J651" s="8"/>
      <c r="K651" s="8"/>
      <c r="L651" s="7"/>
      <c r="M651" s="7">
        <v>246.9715277777778</v>
      </c>
      <c r="N651" s="7">
        <v>497.0493055555556</v>
      </c>
      <c r="O651" s="8">
        <v>1825</v>
      </c>
      <c r="P651" s="8">
        <v>1834</v>
      </c>
      <c r="Q651" s="8"/>
      <c r="R651" s="8"/>
      <c r="S651" s="7">
        <v>317.1972222222222</v>
      </c>
      <c r="T651" s="8"/>
    </row>
    <row r="652" spans="1:20">
      <c r="A652" s="6" t="s">
        <v>38</v>
      </c>
      <c r="B652" s="6"/>
      <c r="C652" s="6"/>
      <c r="D652" s="6"/>
      <c r="E652" s="6"/>
      <c r="F652" s="6"/>
      <c r="G652" s="6"/>
      <c r="H652" s="6"/>
      <c r="I652" s="7">
        <v>672.04375</v>
      </c>
      <c r="J652" s="8"/>
      <c r="K652" s="8"/>
      <c r="L652" s="7"/>
      <c r="M652" s="7">
        <v>247.5777777777778</v>
      </c>
      <c r="N652" s="7">
        <v>498.1</v>
      </c>
      <c r="O652" s="8">
        <v>1827</v>
      </c>
      <c r="P652" s="8">
        <v>1836</v>
      </c>
      <c r="Q652" s="8"/>
      <c r="R652" s="8"/>
      <c r="S652" s="7">
        <v>318.2479166666666</v>
      </c>
      <c r="T652" s="8"/>
    </row>
  </sheetData>
  <mergeCells count="90">
    <mergeCell ref="A12:H12"/>
    <mergeCell ref="A13:H13"/>
    <mergeCell ref="A14:H14"/>
    <mergeCell ref="A34:H34"/>
    <mergeCell ref="A35:H35"/>
    <mergeCell ref="A36:H36"/>
    <mergeCell ref="A56:H56"/>
    <mergeCell ref="A57:H57"/>
    <mergeCell ref="A58:H58"/>
    <mergeCell ref="A78:H78"/>
    <mergeCell ref="A79:H79"/>
    <mergeCell ref="A80:H80"/>
    <mergeCell ref="A100:H100"/>
    <mergeCell ref="A101:H101"/>
    <mergeCell ref="A102:H102"/>
    <mergeCell ref="A122:H122"/>
    <mergeCell ref="A123:H123"/>
    <mergeCell ref="A124:H124"/>
    <mergeCell ref="A144:H144"/>
    <mergeCell ref="A145:H145"/>
    <mergeCell ref="A146:H146"/>
    <mergeCell ref="A166:H166"/>
    <mergeCell ref="A167:H167"/>
    <mergeCell ref="A168:H168"/>
    <mergeCell ref="A188:H188"/>
    <mergeCell ref="A189:H189"/>
    <mergeCell ref="A190:H190"/>
    <mergeCell ref="A210:H210"/>
    <mergeCell ref="A211:H211"/>
    <mergeCell ref="A212:H212"/>
    <mergeCell ref="A232:H232"/>
    <mergeCell ref="A233:H233"/>
    <mergeCell ref="A234:H234"/>
    <mergeCell ref="A254:H254"/>
    <mergeCell ref="A255:H255"/>
    <mergeCell ref="A256:H256"/>
    <mergeCell ref="A276:H276"/>
    <mergeCell ref="A277:H277"/>
    <mergeCell ref="A278:H278"/>
    <mergeCell ref="A298:H298"/>
    <mergeCell ref="A299:H299"/>
    <mergeCell ref="A300:H300"/>
    <mergeCell ref="A320:H320"/>
    <mergeCell ref="A321:H321"/>
    <mergeCell ref="A322:H322"/>
    <mergeCell ref="A342:H342"/>
    <mergeCell ref="A343:H343"/>
    <mergeCell ref="A344:H344"/>
    <mergeCell ref="A364:H364"/>
    <mergeCell ref="A365:H365"/>
    <mergeCell ref="A366:H366"/>
    <mergeCell ref="A386:H386"/>
    <mergeCell ref="A387:H387"/>
    <mergeCell ref="A388:H388"/>
    <mergeCell ref="A408:H408"/>
    <mergeCell ref="A409:H409"/>
    <mergeCell ref="A410:H410"/>
    <mergeCell ref="A430:H430"/>
    <mergeCell ref="A431:H431"/>
    <mergeCell ref="A432:H432"/>
    <mergeCell ref="A452:H452"/>
    <mergeCell ref="A453:H453"/>
    <mergeCell ref="A454:H454"/>
    <mergeCell ref="A474:H474"/>
    <mergeCell ref="A475:H475"/>
    <mergeCell ref="A476:H476"/>
    <mergeCell ref="A496:H496"/>
    <mergeCell ref="A497:H497"/>
    <mergeCell ref="A498:H498"/>
    <mergeCell ref="A518:H518"/>
    <mergeCell ref="A519:H519"/>
    <mergeCell ref="A520:H520"/>
    <mergeCell ref="A540:H540"/>
    <mergeCell ref="A541:H541"/>
    <mergeCell ref="A542:H542"/>
    <mergeCell ref="A562:H562"/>
    <mergeCell ref="A563:H563"/>
    <mergeCell ref="A564:H564"/>
    <mergeCell ref="A584:H584"/>
    <mergeCell ref="A585:H585"/>
    <mergeCell ref="A586:H586"/>
    <mergeCell ref="A606:H606"/>
    <mergeCell ref="A607:H607"/>
    <mergeCell ref="A608:H608"/>
    <mergeCell ref="A628:H628"/>
    <mergeCell ref="A629:H629"/>
    <mergeCell ref="A630:H630"/>
    <mergeCell ref="A650:H650"/>
    <mergeCell ref="A651:H651"/>
    <mergeCell ref="A652:H652"/>
  </mergeCells>
  <pageMargins left="0.25" right="0.25" top="0.35" bottom="0.3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flt_log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2026-07-04T10:00:56Z</dcterms:created>
  <dcterms:modified xsi:type="dcterms:W3CDTF">2026-07-04T10:00:56Z</dcterms:modified>
</cp:coreProperties>
</file>